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plan11\Documents\00_MINEDU\LIMPIEZA\01_input\"/>
    </mc:Choice>
  </mc:AlternateContent>
  <xr:revisionPtr revIDLastSave="0" documentId="8_{CE22F9BC-7CC1-46B2-A2ED-8DABFB2E495E}" xr6:coauthVersionLast="47" xr6:coauthVersionMax="47" xr10:uidLastSave="{00000000-0000-0000-0000-000000000000}"/>
  <bookViews>
    <workbookView xWindow="-120" yWindow="-120" windowWidth="29040" windowHeight="15720" tabRatio="576" activeTab="2" xr2:uid="{00000000-000D-0000-FFFF-FFFF00000000}"/>
  </bookViews>
  <sheets>
    <sheet name="IMPLEMENTADOS" sheetId="1" r:id="rId1"/>
    <sheet name="CONTINGENCIA" sheetId="3" r:id="rId2"/>
    <sheet name="MANTENIMIENTO" sheetId="2" r:id="rId3"/>
  </sheets>
  <externalReferences>
    <externalReference r:id="rId4"/>
  </externalReferences>
  <definedNames>
    <definedName name="_xlnm._FilterDatabase" localSheetId="1" hidden="1">CONTINGENCIA!$A$3:$H$112</definedName>
    <definedName name="_xlnm._FilterDatabase" localSheetId="0" hidden="1">IMPLEMENTADOS!$A$3:$P$78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" i="2" l="1"/>
  <c r="M8" i="2" s="1"/>
  <c r="L9" i="2"/>
  <c r="M9" i="2" s="1"/>
  <c r="L10" i="2"/>
  <c r="M10" i="2"/>
  <c r="L11" i="2"/>
  <c r="M11" i="2"/>
  <c r="L12" i="2"/>
  <c r="M12" i="2" s="1"/>
  <c r="L13" i="2"/>
  <c r="M13" i="2"/>
  <c r="L14" i="2"/>
  <c r="M14" i="2"/>
  <c r="L15" i="2"/>
  <c r="M15" i="2"/>
  <c r="L16" i="2"/>
  <c r="M16" i="2" s="1"/>
  <c r="L17" i="2"/>
  <c r="M17" i="2" s="1"/>
  <c r="L18" i="2"/>
  <c r="M18" i="2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/>
  <c r="L5" i="2"/>
  <c r="M5" i="2" s="1"/>
  <c r="L6" i="2"/>
  <c r="M6" i="2" s="1"/>
  <c r="L7" i="2"/>
  <c r="M7" i="2" s="1"/>
  <c r="L4" i="2"/>
  <c r="M4" i="2" s="1"/>
  <c r="A3" i="3"/>
  <c r="B3" i="3"/>
  <c r="C3" i="3"/>
  <c r="D3" i="3"/>
  <c r="E3" i="3"/>
  <c r="F3" i="3"/>
  <c r="G3" i="3"/>
  <c r="H3" i="3"/>
  <c r="A4" i="3"/>
  <c r="E4" i="3"/>
  <c r="A5" i="3"/>
  <c r="E5" i="3"/>
  <c r="A6" i="3"/>
  <c r="E6" i="3"/>
  <c r="A7" i="3"/>
  <c r="E7" i="3"/>
  <c r="A8" i="3"/>
  <c r="E8" i="3"/>
  <c r="A9" i="3"/>
  <c r="E9" i="3"/>
  <c r="A10" i="3"/>
  <c r="E10" i="3"/>
  <c r="A11" i="3"/>
  <c r="E11" i="3"/>
  <c r="A12" i="3"/>
  <c r="E12" i="3"/>
  <c r="A13" i="3"/>
  <c r="E13" i="3"/>
  <c r="A14" i="3"/>
  <c r="E14" i="3"/>
  <c r="A15" i="3"/>
  <c r="E15" i="3"/>
  <c r="A16" i="3"/>
  <c r="E16" i="3"/>
  <c r="A17" i="3"/>
  <c r="E17" i="3"/>
  <c r="A18" i="3"/>
  <c r="E18" i="3"/>
  <c r="A19" i="3"/>
  <c r="E19" i="3"/>
  <c r="A20" i="3"/>
  <c r="E20" i="3"/>
  <c r="A21" i="3"/>
  <c r="E21" i="3"/>
  <c r="A22" i="3"/>
  <c r="E22" i="3"/>
  <c r="A23" i="3"/>
  <c r="E23" i="3"/>
  <c r="A24" i="3"/>
  <c r="E24" i="3"/>
  <c r="A25" i="3"/>
  <c r="E25" i="3"/>
  <c r="A26" i="3"/>
  <c r="E26" i="3"/>
  <c r="A27" i="3"/>
  <c r="E27" i="3"/>
  <c r="A28" i="3"/>
  <c r="E28" i="3"/>
  <c r="A29" i="3"/>
  <c r="E29" i="3"/>
  <c r="A30" i="3"/>
  <c r="E30" i="3"/>
  <c r="A31" i="3"/>
  <c r="E31" i="3"/>
  <c r="A32" i="3"/>
  <c r="E32" i="3"/>
  <c r="A33" i="3"/>
  <c r="E33" i="3"/>
  <c r="A34" i="3"/>
  <c r="E34" i="3"/>
  <c r="A35" i="3"/>
  <c r="E35" i="3"/>
  <c r="A36" i="3"/>
  <c r="E36" i="3"/>
  <c r="A37" i="3"/>
  <c r="E37" i="3"/>
  <c r="A38" i="3"/>
  <c r="E38" i="3"/>
  <c r="A39" i="3"/>
  <c r="E39" i="3"/>
  <c r="A40" i="3"/>
  <c r="E40" i="3"/>
  <c r="A41" i="3"/>
  <c r="E41" i="3"/>
  <c r="A42" i="3"/>
  <c r="E42" i="3"/>
  <c r="A43" i="3"/>
  <c r="E43" i="3"/>
  <c r="A44" i="3"/>
  <c r="E44" i="3"/>
  <c r="A45" i="3"/>
  <c r="E45" i="3"/>
  <c r="A46" i="3"/>
  <c r="E46" i="3"/>
  <c r="A47" i="3"/>
  <c r="E47" i="3"/>
  <c r="A48" i="3"/>
  <c r="E48" i="3"/>
  <c r="A49" i="3"/>
  <c r="E49" i="3"/>
  <c r="A50" i="3"/>
  <c r="E50" i="3"/>
  <c r="A51" i="3"/>
  <c r="E51" i="3"/>
  <c r="A52" i="3"/>
  <c r="E52" i="3"/>
  <c r="A53" i="3"/>
  <c r="E53" i="3"/>
  <c r="A54" i="3"/>
  <c r="E54" i="3"/>
  <c r="A55" i="3"/>
  <c r="E55" i="3"/>
  <c r="A56" i="3"/>
  <c r="E56" i="3"/>
  <c r="A57" i="3"/>
  <c r="E57" i="3"/>
  <c r="A58" i="3"/>
  <c r="E58" i="3"/>
  <c r="A59" i="3"/>
  <c r="E59" i="3"/>
  <c r="A60" i="3"/>
  <c r="E60" i="3"/>
  <c r="A61" i="3"/>
  <c r="E61" i="3"/>
  <c r="A62" i="3"/>
  <c r="E62" i="3"/>
  <c r="A63" i="3"/>
  <c r="E63" i="3"/>
  <c r="A64" i="3"/>
  <c r="E64" i="3"/>
  <c r="A65" i="3"/>
  <c r="E65" i="3"/>
  <c r="A66" i="3"/>
  <c r="E66" i="3"/>
  <c r="A67" i="3"/>
  <c r="E67" i="3"/>
  <c r="A68" i="3"/>
  <c r="E68" i="3"/>
  <c r="A69" i="3"/>
  <c r="E69" i="3"/>
  <c r="A70" i="3"/>
  <c r="E70" i="3"/>
  <c r="A71" i="3"/>
  <c r="E71" i="3"/>
  <c r="A72" i="3"/>
  <c r="E72" i="3"/>
  <c r="A73" i="3"/>
  <c r="E73" i="3"/>
  <c r="A74" i="3"/>
  <c r="E74" i="3"/>
  <c r="A75" i="3"/>
  <c r="E75" i="3"/>
  <c r="A76" i="3"/>
  <c r="E76" i="3"/>
  <c r="A77" i="3"/>
  <c r="E77" i="3"/>
  <c r="A78" i="3"/>
  <c r="E78" i="3"/>
  <c r="A79" i="3"/>
  <c r="E79" i="3"/>
  <c r="A80" i="3"/>
  <c r="E80" i="3"/>
  <c r="A81" i="3"/>
  <c r="E81" i="3"/>
  <c r="A82" i="3"/>
  <c r="E82" i="3"/>
  <c r="A83" i="3"/>
  <c r="E83" i="3"/>
  <c r="A84" i="3"/>
  <c r="E84" i="3"/>
  <c r="A85" i="3"/>
  <c r="E85" i="3"/>
  <c r="A86" i="3"/>
  <c r="E86" i="3"/>
  <c r="A87" i="3"/>
  <c r="E87" i="3"/>
  <c r="A88" i="3"/>
  <c r="E88" i="3"/>
  <c r="A89" i="3"/>
  <c r="E89" i="3"/>
  <c r="A90" i="3"/>
  <c r="E90" i="3"/>
  <c r="A91" i="3"/>
  <c r="E91" i="3"/>
  <c r="A92" i="3"/>
  <c r="E92" i="3"/>
  <c r="A93" i="3"/>
  <c r="E93" i="3"/>
  <c r="A94" i="3"/>
  <c r="E94" i="3"/>
  <c r="A95" i="3"/>
  <c r="E95" i="3"/>
  <c r="A96" i="3"/>
  <c r="E96" i="3"/>
  <c r="A97" i="3"/>
  <c r="E97" i="3"/>
  <c r="A98" i="3"/>
  <c r="E98" i="3"/>
  <c r="A99" i="3"/>
  <c r="E99" i="3"/>
  <c r="A100" i="3"/>
  <c r="E100" i="3"/>
  <c r="A101" i="3"/>
  <c r="E101" i="3"/>
  <c r="A102" i="3"/>
  <c r="E102" i="3"/>
  <c r="A103" i="3"/>
  <c r="E103" i="3"/>
  <c r="A104" i="3"/>
  <c r="E104" i="3"/>
  <c r="A105" i="3"/>
  <c r="E105" i="3"/>
  <c r="A106" i="3"/>
  <c r="E106" i="3"/>
  <c r="A107" i="3"/>
  <c r="E107" i="3"/>
  <c r="A108" i="3"/>
  <c r="E108" i="3"/>
  <c r="A109" i="3"/>
  <c r="E109" i="3"/>
  <c r="A110" i="3"/>
  <c r="E110" i="3"/>
  <c r="A111" i="3"/>
  <c r="E111" i="3"/>
  <c r="A112" i="3"/>
  <c r="E112" i="3"/>
  <c r="I5" i="2"/>
  <c r="I6" i="2"/>
  <c r="I7" i="2"/>
  <c r="I16" i="2"/>
  <c r="I17" i="2"/>
  <c r="I18" i="2"/>
  <c r="I19" i="2"/>
  <c r="I20" i="2"/>
  <c r="I21" i="2"/>
  <c r="I22" i="2"/>
  <c r="I23" i="2"/>
  <c r="I24" i="2"/>
  <c r="I25" i="2"/>
  <c r="I26" i="2"/>
  <c r="I8" i="2"/>
  <c r="I9" i="2"/>
  <c r="I10" i="2"/>
  <c r="I11" i="2"/>
  <c r="I12" i="2"/>
  <c r="I13" i="2"/>
  <c r="I14" i="2"/>
  <c r="I15" i="2"/>
  <c r="I4" i="2"/>
  <c r="G4" i="3"/>
  <c r="F4" i="3"/>
  <c r="D4" i="3"/>
  <c r="C4" i="3"/>
  <c r="B4" i="3" l="1"/>
  <c r="H4" i="3"/>
  <c r="G5" i="3" l="1"/>
  <c r="F5" i="3"/>
  <c r="D5" i="3"/>
  <c r="C5" i="3"/>
  <c r="F112" i="3"/>
  <c r="B5" i="3" l="1"/>
  <c r="H5" i="3"/>
  <c r="F19" i="3"/>
  <c r="F50" i="3"/>
  <c r="F32" i="3"/>
  <c r="F28" i="3"/>
  <c r="F11" i="3"/>
  <c r="F68" i="3"/>
  <c r="F10" i="3"/>
  <c r="F39" i="3"/>
  <c r="F100" i="3"/>
  <c r="F92" i="3"/>
  <c r="F67" i="3"/>
  <c r="F60" i="3"/>
  <c r="F35" i="3"/>
  <c r="F49" i="3"/>
  <c r="F27" i="3"/>
  <c r="F9" i="3"/>
  <c r="F104" i="3"/>
  <c r="F99" i="3"/>
  <c r="F103" i="3"/>
  <c r="F73" i="3"/>
  <c r="F62" i="3"/>
  <c r="G9" i="3"/>
  <c r="F83" i="3"/>
  <c r="F66" i="3"/>
  <c r="F65" i="3"/>
  <c r="F48" i="3"/>
  <c r="F55" i="3"/>
  <c r="F54" i="3"/>
  <c r="F53" i="3"/>
  <c r="G65" i="3"/>
  <c r="G47" i="3"/>
  <c r="G106" i="3"/>
  <c r="G8" i="3"/>
  <c r="G94" i="3"/>
  <c r="G30" i="3"/>
  <c r="G43" i="3"/>
  <c r="G42" i="3"/>
  <c r="G32" i="3"/>
  <c r="G53" i="3"/>
  <c r="G104" i="3"/>
  <c r="G100" i="3"/>
  <c r="G36" i="3"/>
  <c r="F110" i="3"/>
  <c r="F20" i="3"/>
  <c r="F101" i="3"/>
  <c r="F74" i="3"/>
  <c r="F63" i="3"/>
  <c r="G73" i="3"/>
  <c r="F75" i="3"/>
  <c r="F58" i="3"/>
  <c r="F57" i="3"/>
  <c r="F40" i="3"/>
  <c r="F47" i="3"/>
  <c r="F46" i="3"/>
  <c r="F45" i="3"/>
  <c r="G57" i="3"/>
  <c r="G112" i="3"/>
  <c r="G39" i="3"/>
  <c r="G91" i="3"/>
  <c r="G58" i="3"/>
  <c r="G86" i="3"/>
  <c r="G22" i="3"/>
  <c r="G26" i="3"/>
  <c r="G95" i="3"/>
  <c r="G45" i="3"/>
  <c r="G72" i="3"/>
  <c r="G92" i="3"/>
  <c r="G28" i="3"/>
  <c r="F38" i="3"/>
  <c r="F37" i="3"/>
  <c r="G49" i="3"/>
  <c r="G80" i="3"/>
  <c r="G31" i="3"/>
  <c r="G51" i="3"/>
  <c r="G78" i="3"/>
  <c r="G14" i="3"/>
  <c r="G110" i="3"/>
  <c r="G37" i="3"/>
  <c r="G107" i="3"/>
  <c r="G90" i="3"/>
  <c r="G40" i="3"/>
  <c r="G103" i="3"/>
  <c r="G84" i="3"/>
  <c r="G20" i="3"/>
  <c r="F84" i="3"/>
  <c r="F76" i="3"/>
  <c r="G105" i="3"/>
  <c r="G41" i="3"/>
  <c r="G75" i="3"/>
  <c r="G82" i="3"/>
  <c r="G48" i="3"/>
  <c r="G23" i="3"/>
  <c r="G70" i="3"/>
  <c r="G6" i="3"/>
  <c r="G109" i="3"/>
  <c r="G29" i="3"/>
  <c r="G67" i="3"/>
  <c r="G50" i="3"/>
  <c r="G16" i="3"/>
  <c r="G79" i="3"/>
  <c r="G76" i="3"/>
  <c r="G12" i="3"/>
  <c r="F44" i="3"/>
  <c r="F36" i="3"/>
  <c r="G27" i="3"/>
  <c r="G98" i="3"/>
  <c r="G97" i="3"/>
  <c r="G33" i="3"/>
  <c r="G35" i="3"/>
  <c r="G34" i="3"/>
  <c r="G24" i="3"/>
  <c r="G111" i="3"/>
  <c r="G15" i="3"/>
  <c r="G62" i="3"/>
  <c r="G93" i="3"/>
  <c r="G21" i="3"/>
  <c r="G19" i="3"/>
  <c r="G18" i="3"/>
  <c r="G102" i="3"/>
  <c r="G68" i="3"/>
  <c r="F109" i="3"/>
  <c r="G99" i="3"/>
  <c r="G66" i="3"/>
  <c r="G89" i="3"/>
  <c r="G25" i="3"/>
  <c r="G11" i="3"/>
  <c r="G10" i="3"/>
  <c r="G87" i="3"/>
  <c r="G7" i="3"/>
  <c r="G54" i="3"/>
  <c r="G77" i="3"/>
  <c r="G13" i="3"/>
  <c r="G101" i="3"/>
  <c r="G60" i="3"/>
  <c r="F111" i="3"/>
  <c r="F102" i="3"/>
  <c r="G81" i="3"/>
  <c r="G17" i="3"/>
  <c r="G63" i="3"/>
  <c r="G88" i="3"/>
  <c r="G46" i="3"/>
  <c r="G96" i="3"/>
  <c r="G69" i="3"/>
  <c r="G85" i="3"/>
  <c r="G52" i="3"/>
  <c r="F96" i="3"/>
  <c r="G59" i="3"/>
  <c r="F91" i="3"/>
  <c r="F56" i="3"/>
  <c r="F61" i="3"/>
  <c r="G55" i="3"/>
  <c r="G56" i="3"/>
  <c r="G71" i="3"/>
  <c r="G38" i="3"/>
  <c r="G83" i="3"/>
  <c r="G74" i="3"/>
  <c r="G64" i="3"/>
  <c r="G61" i="3"/>
  <c r="G108" i="3"/>
  <c r="G44" i="3"/>
  <c r="F106" i="3"/>
  <c r="F42" i="3"/>
  <c r="F105" i="3"/>
  <c r="F41" i="3"/>
  <c r="F88" i="3"/>
  <c r="F24" i="3"/>
  <c r="F95" i="3"/>
  <c r="F31" i="3"/>
  <c r="F94" i="3"/>
  <c r="F30" i="3"/>
  <c r="F93" i="3"/>
  <c r="F29" i="3"/>
  <c r="F59" i="3"/>
  <c r="F98" i="3"/>
  <c r="F34" i="3"/>
  <c r="F97" i="3"/>
  <c r="F33" i="3"/>
  <c r="F80" i="3"/>
  <c r="F16" i="3"/>
  <c r="F87" i="3"/>
  <c r="F23" i="3"/>
  <c r="F86" i="3"/>
  <c r="F22" i="3"/>
  <c r="F85" i="3"/>
  <c r="F21" i="3"/>
  <c r="F52" i="3"/>
  <c r="F12" i="3"/>
  <c r="F51" i="3"/>
  <c r="F90" i="3"/>
  <c r="F26" i="3"/>
  <c r="F89" i="3"/>
  <c r="F25" i="3"/>
  <c r="F72" i="3"/>
  <c r="F8" i="3"/>
  <c r="F79" i="3"/>
  <c r="F15" i="3"/>
  <c r="F78" i="3"/>
  <c r="F14" i="3"/>
  <c r="F77" i="3"/>
  <c r="F13" i="3"/>
  <c r="F107" i="3"/>
  <c r="F43" i="3"/>
  <c r="F82" i="3"/>
  <c r="F18" i="3"/>
  <c r="F81" i="3"/>
  <c r="F17" i="3"/>
  <c r="F64" i="3"/>
  <c r="F108" i="3"/>
  <c r="F71" i="3"/>
  <c r="F7" i="3"/>
  <c r="F70" i="3"/>
  <c r="F6" i="3"/>
  <c r="F69" i="3"/>
  <c r="C7" i="3"/>
  <c r="D59" i="3"/>
  <c r="D25" i="3"/>
  <c r="D56" i="3"/>
  <c r="D61" i="3"/>
  <c r="C66" i="3"/>
  <c r="C41" i="3"/>
  <c r="C112" i="3"/>
  <c r="C63" i="3"/>
  <c r="D108" i="3"/>
  <c r="D44" i="3"/>
  <c r="D39" i="3"/>
  <c r="C70" i="3"/>
  <c r="C6" i="3"/>
  <c r="D51" i="3"/>
  <c r="D70" i="3"/>
  <c r="C48" i="3"/>
  <c r="C109" i="3"/>
  <c r="C45" i="3"/>
  <c r="D90" i="3"/>
  <c r="D26" i="3"/>
  <c r="C108" i="3"/>
  <c r="C44" i="3"/>
  <c r="D81" i="3"/>
  <c r="D17" i="3"/>
  <c r="C67" i="3"/>
  <c r="D112" i="3"/>
  <c r="D48" i="3"/>
  <c r="C34" i="3"/>
  <c r="D78" i="3"/>
  <c r="C96" i="3"/>
  <c r="D53" i="3"/>
  <c r="D34" i="3"/>
  <c r="D107" i="3"/>
  <c r="D82" i="3"/>
  <c r="C36" i="3"/>
  <c r="C10" i="3"/>
  <c r="D45" i="3"/>
  <c r="D95" i="3"/>
  <c r="D86" i="3"/>
  <c r="C40" i="3"/>
  <c r="C111" i="3"/>
  <c r="C47" i="3"/>
  <c r="D92" i="3"/>
  <c r="D28" i="3"/>
  <c r="C88" i="3"/>
  <c r="C54" i="3"/>
  <c r="D99" i="3"/>
  <c r="D35" i="3"/>
  <c r="C90" i="3"/>
  <c r="D22" i="3"/>
  <c r="C93" i="3"/>
  <c r="C29" i="3"/>
  <c r="D74" i="3"/>
  <c r="D10" i="3"/>
  <c r="C92" i="3"/>
  <c r="C28" i="3"/>
  <c r="D65" i="3"/>
  <c r="C51" i="3"/>
  <c r="D96" i="3"/>
  <c r="D32" i="3"/>
  <c r="D87" i="3"/>
  <c r="C105" i="3"/>
  <c r="D30" i="3"/>
  <c r="C32" i="3"/>
  <c r="D37" i="3"/>
  <c r="C71" i="3"/>
  <c r="D31" i="3"/>
  <c r="C62" i="3"/>
  <c r="D101" i="3"/>
  <c r="D18" i="3"/>
  <c r="D9" i="3"/>
  <c r="D40" i="3"/>
  <c r="C64" i="3"/>
  <c r="D55" i="3"/>
  <c r="D62" i="3"/>
  <c r="C8" i="3"/>
  <c r="C103" i="3"/>
  <c r="C39" i="3"/>
  <c r="D84" i="3"/>
  <c r="D20" i="3"/>
  <c r="C56" i="3"/>
  <c r="C110" i="3"/>
  <c r="C46" i="3"/>
  <c r="D91" i="3"/>
  <c r="D27" i="3"/>
  <c r="C50" i="3"/>
  <c r="C85" i="3"/>
  <c r="C21" i="3"/>
  <c r="D66" i="3"/>
  <c r="C84" i="3"/>
  <c r="C20" i="3"/>
  <c r="D57" i="3"/>
  <c r="C107" i="3"/>
  <c r="C43" i="3"/>
  <c r="D88" i="3"/>
  <c r="D24" i="3"/>
  <c r="D63" i="3"/>
  <c r="C97" i="3"/>
  <c r="C24" i="3"/>
  <c r="D29" i="3"/>
  <c r="C98" i="3"/>
  <c r="C14" i="3"/>
  <c r="C75" i="3"/>
  <c r="C26" i="3"/>
  <c r="D100" i="3"/>
  <c r="D43" i="3"/>
  <c r="C101" i="3"/>
  <c r="C59" i="3"/>
  <c r="D38" i="3"/>
  <c r="D76" i="3"/>
  <c r="D12" i="3"/>
  <c r="C74" i="3"/>
  <c r="C81" i="3"/>
  <c r="C16" i="3"/>
  <c r="C102" i="3"/>
  <c r="C38" i="3"/>
  <c r="D83" i="3"/>
  <c r="D19" i="3"/>
  <c r="C18" i="3"/>
  <c r="C89" i="3"/>
  <c r="C77" i="3"/>
  <c r="C13" i="3"/>
  <c r="D58" i="3"/>
  <c r="C76" i="3"/>
  <c r="C12" i="3"/>
  <c r="D49" i="3"/>
  <c r="C99" i="3"/>
  <c r="C35" i="3"/>
  <c r="D80" i="3"/>
  <c r="D16" i="3"/>
  <c r="D47" i="3"/>
  <c r="C65" i="3"/>
  <c r="D109" i="3"/>
  <c r="D21" i="3"/>
  <c r="C73" i="3"/>
  <c r="D52" i="3"/>
  <c r="D94" i="3"/>
  <c r="C53" i="3"/>
  <c r="D89" i="3"/>
  <c r="C11" i="3"/>
  <c r="C58" i="3"/>
  <c r="C80" i="3"/>
  <c r="D36" i="3"/>
  <c r="D46" i="3"/>
  <c r="C37" i="3"/>
  <c r="C100" i="3"/>
  <c r="D104" i="3"/>
  <c r="D54" i="3"/>
  <c r="D85" i="3"/>
  <c r="C31" i="3"/>
  <c r="D14" i="3"/>
  <c r="C87" i="3"/>
  <c r="C23" i="3"/>
  <c r="D68" i="3"/>
  <c r="C42" i="3"/>
  <c r="C49" i="3"/>
  <c r="D77" i="3"/>
  <c r="C94" i="3"/>
  <c r="C30" i="3"/>
  <c r="D75" i="3"/>
  <c r="D11" i="3"/>
  <c r="D103" i="3"/>
  <c r="C57" i="3"/>
  <c r="C69" i="3"/>
  <c r="D50" i="3"/>
  <c r="C68" i="3"/>
  <c r="D105" i="3"/>
  <c r="D41" i="3"/>
  <c r="C91" i="3"/>
  <c r="C27" i="3"/>
  <c r="D72" i="3"/>
  <c r="D8" i="3"/>
  <c r="C106" i="3"/>
  <c r="D15" i="3"/>
  <c r="C33" i="3"/>
  <c r="D93" i="3"/>
  <c r="D13" i="3"/>
  <c r="D79" i="3"/>
  <c r="C78" i="3"/>
  <c r="C72" i="3"/>
  <c r="D98" i="3"/>
  <c r="C52" i="3"/>
  <c r="D6" i="3"/>
  <c r="D110" i="3"/>
  <c r="C9" i="3"/>
  <c r="C55" i="3"/>
  <c r="D73" i="3"/>
  <c r="D23" i="3"/>
  <c r="C95" i="3"/>
  <c r="C79" i="3"/>
  <c r="C15" i="3"/>
  <c r="D60" i="3"/>
  <c r="D111" i="3"/>
  <c r="D102" i="3"/>
  <c r="C86" i="3"/>
  <c r="C22" i="3"/>
  <c r="D67" i="3"/>
  <c r="D71" i="3"/>
  <c r="C17" i="3"/>
  <c r="C104" i="3"/>
  <c r="C61" i="3"/>
  <c r="D106" i="3"/>
  <c r="D42" i="3"/>
  <c r="C60" i="3"/>
  <c r="D97" i="3"/>
  <c r="D33" i="3"/>
  <c r="C83" i="3"/>
  <c r="C19" i="3"/>
  <c r="D64" i="3"/>
  <c r="D7" i="3"/>
  <c r="C82" i="3"/>
  <c r="C25" i="3"/>
  <c r="D69" i="3"/>
  <c r="B38" i="3" l="1"/>
  <c r="H38" i="3"/>
  <c r="B92" i="3"/>
  <c r="H92" i="3"/>
  <c r="B109" i="3"/>
  <c r="H109" i="3"/>
  <c r="B16" i="3"/>
  <c r="H16" i="3"/>
  <c r="B84" i="3"/>
  <c r="H84" i="3"/>
  <c r="B68" i="3"/>
  <c r="H68" i="3"/>
  <c r="B53" i="3"/>
  <c r="H53" i="3"/>
  <c r="B108" i="3"/>
  <c r="H108" i="3"/>
  <c r="B80" i="3"/>
  <c r="H80" i="3"/>
  <c r="B41" i="3"/>
  <c r="H41" i="3"/>
  <c r="B34" i="3"/>
  <c r="H34" i="3"/>
  <c r="B90" i="3"/>
  <c r="H90" i="3"/>
  <c r="B87" i="3"/>
  <c r="H87" i="3"/>
  <c r="B111" i="3"/>
  <c r="H111" i="3"/>
  <c r="B61" i="3"/>
  <c r="H61" i="3"/>
  <c r="B91" i="3"/>
  <c r="H91" i="3"/>
  <c r="B54" i="3"/>
  <c r="H54" i="3"/>
  <c r="B50" i="3"/>
  <c r="H50" i="3"/>
  <c r="B107" i="3"/>
  <c r="H107" i="3"/>
  <c r="B62" i="3"/>
  <c r="H62" i="3"/>
  <c r="B97" i="3"/>
  <c r="H97" i="3"/>
  <c r="B47" i="3"/>
  <c r="H47" i="3"/>
  <c r="B36" i="3"/>
  <c r="H36" i="3"/>
  <c r="B44" i="3"/>
  <c r="H44" i="3"/>
  <c r="B51" i="3"/>
  <c r="H51" i="3"/>
  <c r="B105" i="3"/>
  <c r="H105" i="3"/>
  <c r="B98" i="3"/>
  <c r="H98" i="3"/>
  <c r="B55" i="3"/>
  <c r="H55" i="3"/>
  <c r="B32" i="3"/>
  <c r="H32" i="3"/>
  <c r="B7" i="3"/>
  <c r="H7" i="3"/>
  <c r="B40" i="3"/>
  <c r="H40" i="3"/>
  <c r="B58" i="3"/>
  <c r="H58" i="3"/>
  <c r="B37" i="3"/>
  <c r="H37" i="3"/>
  <c r="B76" i="3"/>
  <c r="H76" i="3"/>
  <c r="B22" i="3"/>
  <c r="H22" i="3"/>
  <c r="B28" i="3"/>
  <c r="H28" i="3"/>
  <c r="B23" i="3"/>
  <c r="H23" i="3"/>
  <c r="B69" i="3"/>
  <c r="H69" i="3"/>
  <c r="B72" i="3"/>
  <c r="H72" i="3"/>
  <c r="B104" i="3"/>
  <c r="H104" i="3"/>
  <c r="B79" i="3"/>
  <c r="H79" i="3"/>
  <c r="B52" i="3"/>
  <c r="H52" i="3"/>
  <c r="B13" i="3"/>
  <c r="H13" i="3"/>
  <c r="B59" i="3"/>
  <c r="H59" i="3"/>
  <c r="B46" i="3"/>
  <c r="H46" i="3"/>
  <c r="B24" i="3"/>
  <c r="H24" i="3"/>
  <c r="B101" i="3"/>
  <c r="H101" i="3"/>
  <c r="B33" i="3"/>
  <c r="H33" i="3"/>
  <c r="B21" i="3"/>
  <c r="H21" i="3"/>
  <c r="B67" i="3"/>
  <c r="H67" i="3"/>
  <c r="B45" i="3"/>
  <c r="H45" i="3"/>
  <c r="B99" i="3"/>
  <c r="H99" i="3"/>
  <c r="B6" i="3"/>
  <c r="H6" i="3"/>
  <c r="B60" i="3"/>
  <c r="H60" i="3"/>
  <c r="B64" i="3"/>
  <c r="H64" i="3"/>
  <c r="B25" i="3"/>
  <c r="H25" i="3"/>
  <c r="B18" i="3"/>
  <c r="H18" i="3"/>
  <c r="B8" i="3"/>
  <c r="H8" i="3"/>
  <c r="B35" i="3"/>
  <c r="H35" i="3"/>
  <c r="B15" i="3"/>
  <c r="H15" i="3"/>
  <c r="B83" i="3"/>
  <c r="H83" i="3"/>
  <c r="B30" i="3"/>
  <c r="H30" i="3"/>
  <c r="B81" i="3"/>
  <c r="H81" i="3"/>
  <c r="B57" i="3"/>
  <c r="H57" i="3"/>
  <c r="B65" i="3"/>
  <c r="H65" i="3"/>
  <c r="B10" i="3"/>
  <c r="H10" i="3"/>
  <c r="B94" i="3"/>
  <c r="H94" i="3"/>
  <c r="B110" i="3"/>
  <c r="H110" i="3"/>
  <c r="B29" i="3"/>
  <c r="H29" i="3"/>
  <c r="B17" i="3"/>
  <c r="H17" i="3"/>
  <c r="B88" i="3"/>
  <c r="H88" i="3"/>
  <c r="B49" i="3"/>
  <c r="H49" i="3"/>
  <c r="B42" i="3"/>
  <c r="H42" i="3"/>
  <c r="B31" i="3"/>
  <c r="H31" i="3"/>
  <c r="B78" i="3"/>
  <c r="H78" i="3"/>
  <c r="B39" i="3"/>
  <c r="H39" i="3"/>
  <c r="B20" i="3"/>
  <c r="H20" i="3"/>
  <c r="B12" i="3"/>
  <c r="H12" i="3"/>
  <c r="B77" i="3"/>
  <c r="H77" i="3"/>
  <c r="B70" i="3"/>
  <c r="H70" i="3"/>
  <c r="B14" i="3"/>
  <c r="H14" i="3"/>
  <c r="B85" i="3"/>
  <c r="H85" i="3"/>
  <c r="B89" i="3"/>
  <c r="H89" i="3"/>
  <c r="B82" i="3"/>
  <c r="H82" i="3"/>
  <c r="B56" i="3"/>
  <c r="H56" i="3"/>
  <c r="B96" i="3"/>
  <c r="H96" i="3"/>
  <c r="B19" i="3"/>
  <c r="H19" i="3"/>
  <c r="B27" i="3"/>
  <c r="H27" i="3"/>
  <c r="B106" i="3"/>
  <c r="H106" i="3"/>
  <c r="B93" i="3"/>
  <c r="H93" i="3"/>
  <c r="B11" i="3"/>
  <c r="H11" i="3"/>
  <c r="B95" i="3"/>
  <c r="H95" i="3"/>
  <c r="B103" i="3"/>
  <c r="H103" i="3"/>
  <c r="B102" i="3"/>
  <c r="H102" i="3"/>
  <c r="B74" i="3"/>
  <c r="H74" i="3"/>
  <c r="B48" i="3"/>
  <c r="H48" i="3"/>
  <c r="B9" i="3"/>
  <c r="H9" i="3"/>
  <c r="B75" i="3"/>
  <c r="H75" i="3"/>
  <c r="B86" i="3"/>
  <c r="H86" i="3"/>
  <c r="B43" i="3"/>
  <c r="H43" i="3"/>
  <c r="B71" i="3"/>
  <c r="H71" i="3"/>
  <c r="B112" i="3"/>
  <c r="H112" i="3"/>
  <c r="B73" i="3"/>
  <c r="H73" i="3"/>
  <c r="B66" i="3"/>
  <c r="H66" i="3"/>
  <c r="B26" i="3"/>
  <c r="H26" i="3"/>
  <c r="B63" i="3"/>
  <c r="H63" i="3"/>
  <c r="B100" i="3"/>
  <c r="H100" i="3"/>
</calcChain>
</file>

<file path=xl/sharedStrings.xml><?xml version="1.0" encoding="utf-8"?>
<sst xmlns="http://schemas.openxmlformats.org/spreadsheetml/2006/main" count="731" uniqueCount="185">
  <si>
    <t>REPORTE DE INTERVENCIONES PEIP IMPLEMENTADOS AL 2028</t>
  </si>
  <si>
    <t>N°</t>
  </si>
  <si>
    <t>CUI</t>
  </si>
  <si>
    <t>Código Local</t>
  </si>
  <si>
    <t>Nombre del PEIP</t>
  </si>
  <si>
    <t>Estado</t>
  </si>
  <si>
    <t>Etapa de la intervención (Idea/Formulación/Ejecución-Expediente Técnico/ Ejecución física/ Liquidación/ Cierre)</t>
  </si>
  <si>
    <t>Monto de la inversión (actualizado)</t>
  </si>
  <si>
    <t>Avance físico (%)
al 22/03/2026</t>
  </si>
  <si>
    <t>Avance financiero (%)</t>
  </si>
  <si>
    <t>Fecha de inicio de la obra (o estimada) (escuela permanente)</t>
  </si>
  <si>
    <t>Fecha de culminación de obra (o estimada)</t>
  </si>
  <si>
    <t>Fecha de recepción de obra (o estimada)</t>
  </si>
  <si>
    <t>Fecha de entrega de obra (o estimada)</t>
  </si>
  <si>
    <t>Fecha de inauguración (o estimada)</t>
  </si>
  <si>
    <t>Cuenta con un Plan o Manual de mantenimiento recurrente, preventivo y correctivo?</t>
  </si>
  <si>
    <t>Comentarios (-	Otras variables que se consideren pertinentes para el seguimiento del avance en el cierre de brechas.)</t>
  </si>
  <si>
    <t>PQT</t>
  </si>
  <si>
    <t>0085 José de la Torre Ugarte</t>
  </si>
  <si>
    <t>Entregada</t>
  </si>
  <si>
    <t>Cierre</t>
  </si>
  <si>
    <t>Inaugurada</t>
  </si>
  <si>
    <t>SI</t>
  </si>
  <si>
    <t>Paquete 00</t>
  </si>
  <si>
    <t>0035 Nuestra Señora de la Visitación</t>
  </si>
  <si>
    <t>Jorge Basadre Grohmann</t>
  </si>
  <si>
    <t>San Felipe</t>
  </si>
  <si>
    <t>2096 Perú Japón</t>
  </si>
  <si>
    <t>Liquidación*</t>
  </si>
  <si>
    <t>Liquidación*: Ejecución física al 100%, en periodo de defectos, liquidación inicia cuando concluye el periodo de defectos.</t>
  </si>
  <si>
    <t>Paquete 01</t>
  </si>
  <si>
    <t>2100 Juan Velasco Alvarado</t>
  </si>
  <si>
    <t>1190 Felipe Huamán Poma de Ayala</t>
  </si>
  <si>
    <t>3049 Imperio del Tahuantinsuyo</t>
  </si>
  <si>
    <t>3058 Virgen de Fátima</t>
  </si>
  <si>
    <t>3065 Virgen del Carmen</t>
  </si>
  <si>
    <t>3048 Santiago Antúnez de Mayolo</t>
  </si>
  <si>
    <t>3088 Vista Alegre</t>
  </si>
  <si>
    <t>2029 Simón Bolívar</t>
  </si>
  <si>
    <t>General Prado</t>
  </si>
  <si>
    <t>8184 San Benito</t>
  </si>
  <si>
    <t>09 Y 3094-1 J. William Fulbright</t>
  </si>
  <si>
    <t>Sin fecha programada</t>
  </si>
  <si>
    <t xml:space="preserve">2028 Peruano Británico </t>
  </si>
  <si>
    <t>Francisco Bolognesi Cervantes</t>
  </si>
  <si>
    <t>NO</t>
  </si>
  <si>
    <t>Paquete 02</t>
  </si>
  <si>
    <t>109 Inca Manco Cápac</t>
  </si>
  <si>
    <t>1179 Tomás Alva Edison</t>
  </si>
  <si>
    <t>0171-01 Juan Velasco Alvarado</t>
  </si>
  <si>
    <t>En construcción</t>
  </si>
  <si>
    <t>Ejecución física</t>
  </si>
  <si>
    <t>0163 Coronel Néstor Escudero Otero</t>
  </si>
  <si>
    <t>0145 Independencia Americana</t>
  </si>
  <si>
    <t>Ramiro Prialé Prialé</t>
  </si>
  <si>
    <t>0142 Mártir Daniel Alcides Carrión</t>
  </si>
  <si>
    <t>0159 Glorioso 10 de Octubre</t>
  </si>
  <si>
    <t>166 Karol Wojtyla</t>
  </si>
  <si>
    <t>0132 Toribio Luzuriaga y Mejía</t>
  </si>
  <si>
    <t>126 Javier Pérez de Cuéllar</t>
  </si>
  <si>
    <t>0139 Gran Amauta Mariátegui</t>
  </si>
  <si>
    <t>1209 Mariscal Toribio de Luzuriaga</t>
  </si>
  <si>
    <t>Liquidación</t>
  </si>
  <si>
    <t>Paquete 03</t>
  </si>
  <si>
    <t>3080 Perú - Canadá</t>
  </si>
  <si>
    <t>046 Víctor Raúl Haya de la Torre</t>
  </si>
  <si>
    <t>1268 Gustavo Mohme Llona</t>
  </si>
  <si>
    <t>1255 Walter Peñaloza Ramella</t>
  </si>
  <si>
    <t>Manuel Gonzáles Prada</t>
  </si>
  <si>
    <t>1235 Unión Latinoamericana</t>
  </si>
  <si>
    <t>Paquete 04</t>
  </si>
  <si>
    <t>0083 San Juan Macías</t>
  </si>
  <si>
    <t>6094 Santa Rosa</t>
  </si>
  <si>
    <t>1221 María Parado de Bellido</t>
  </si>
  <si>
    <t>7207 Mariscal Ramón Castilla</t>
  </si>
  <si>
    <t>7086 Los Precursores</t>
  </si>
  <si>
    <t>6082 Los Próceres</t>
  </si>
  <si>
    <t>Javier Heraud</t>
  </si>
  <si>
    <t>2099 Rosa Merino/0394-1 Rosa Merino</t>
  </si>
  <si>
    <t>1124 José Martí</t>
  </si>
  <si>
    <t>1166 Libertador Simón Bolívar</t>
  </si>
  <si>
    <t xml:space="preserve">2025 Papa León XIV </t>
  </si>
  <si>
    <t>Paquete 05</t>
  </si>
  <si>
    <t>7228 Peruano Canadiense</t>
  </si>
  <si>
    <t>6011 Santísima Virgen de Fátima</t>
  </si>
  <si>
    <t>6152 Stella Maris</t>
  </si>
  <si>
    <t>Fe y Alegría 24</t>
  </si>
  <si>
    <t>Fe y Alegría 23</t>
  </si>
  <si>
    <t>República del Ecuador</t>
  </si>
  <si>
    <t>6048 Jorge Basadre</t>
  </si>
  <si>
    <t>6064 Francisco Bolognesi</t>
  </si>
  <si>
    <t>248398 / 248402 / 248548</t>
  </si>
  <si>
    <t>19 de Abril</t>
  </si>
  <si>
    <t>Paquete 06</t>
  </si>
  <si>
    <t>399165 / 227579</t>
  </si>
  <si>
    <t xml:space="preserve">9 de Julio </t>
  </si>
  <si>
    <t>238219 / 238318</t>
  </si>
  <si>
    <t>Seis de Agosto</t>
  </si>
  <si>
    <t>Fernando Carbajal</t>
  </si>
  <si>
    <t>Paquete 07</t>
  </si>
  <si>
    <t>San Marcos</t>
  </si>
  <si>
    <t>Santo Domingo de Guzmán</t>
  </si>
  <si>
    <t>Santa Lucía</t>
  </si>
  <si>
    <t>73002 Glorioso 821</t>
  </si>
  <si>
    <t>Paquete 08</t>
  </si>
  <si>
    <t>451040 / 451002</t>
  </si>
  <si>
    <t>Telésforo Catacora</t>
  </si>
  <si>
    <t>Pedro Vilcapaza</t>
  </si>
  <si>
    <t>Varones</t>
  </si>
  <si>
    <t>José Gálvez</t>
  </si>
  <si>
    <t>Tawantinsuyo</t>
  </si>
  <si>
    <t>Agustín Gamarra</t>
  </si>
  <si>
    <t>I.E. Emblematica 15513</t>
  </si>
  <si>
    <t>Viable</t>
  </si>
  <si>
    <t>Formulación</t>
  </si>
  <si>
    <t>NO APLICA</t>
  </si>
  <si>
    <t>Paquete 09</t>
  </si>
  <si>
    <t>I.E. Americo Garibaldi Ghersi</t>
  </si>
  <si>
    <t>I.E. 34618 Remigio Morales Bermudez</t>
  </si>
  <si>
    <t>I.E. 60052 Generalisimo Jose De San Martin</t>
  </si>
  <si>
    <t>I.E. Alberto Leveau Garcia</t>
  </si>
  <si>
    <t>Paquete 10</t>
  </si>
  <si>
    <t>I.E. Alonso De Alvarado</t>
  </si>
  <si>
    <t>I.E. 33432 Antonio Ketin Vidal Herrera</t>
  </si>
  <si>
    <t>I.E. Jorge Chavez Bertnelli</t>
  </si>
  <si>
    <t>I.E. Rafael Loayza Guevara</t>
  </si>
  <si>
    <t>Paquete 11</t>
  </si>
  <si>
    <t>I.E. San Juan</t>
  </si>
  <si>
    <t>I.E. Maria Auxiliadora</t>
  </si>
  <si>
    <t>I.E. Libertadores De America</t>
  </si>
  <si>
    <t>I.E. Manuel Vivanco Altamirano</t>
  </si>
  <si>
    <t>I.E. Javier Pulgar Vidal</t>
  </si>
  <si>
    <t>I.E. Ernesto Merino Rivera</t>
  </si>
  <si>
    <t>Paquete 12</t>
  </si>
  <si>
    <t>I.E. Leoncio Prado</t>
  </si>
  <si>
    <t>I.E. 20790</t>
  </si>
  <si>
    <t>REPORTE DE INTERVENCIONES DEL PLAN DE CONTINGENCIA (SISTEMAS MODULARES)</t>
  </si>
  <si>
    <t>SISTEMAS MODULARES: Se refiere a las aulas, ambientes, equipamiento, mobiliario u otras intervenciones de contingencia; tales como las aulas prefabricadas, entre otros)</t>
  </si>
  <si>
    <t>PENDIENTE DE RECURSOS</t>
  </si>
  <si>
    <t>REPORTE DE INTERVENCIONES DE MANTENIMIENTO 2025-2028</t>
  </si>
  <si>
    <t>Nombre de la I.E.</t>
  </si>
  <si>
    <t>Cuenta con Plan o Manual de Mantenimiento. SI/NO.</t>
  </si>
  <si>
    <t>Alcance del Plan o Manual (Mantenimiento recurrente, Mantenimiento preventivo, Mantenimienro correctivo)</t>
  </si>
  <si>
    <t>Monto anual de mantenimiento recurrente (ejecutado o proyectado) 2025</t>
  </si>
  <si>
    <t>Monto anual de mantenimiento recurrente (ejecutado o proyectado) 2026</t>
  </si>
  <si>
    <t>Monto anual de mantenimiento recurrente (ejecutado o proyectado) 2027</t>
  </si>
  <si>
    <t>Monto anual de mantenimiento recurrente (ejecutado o proyectado) 2028</t>
  </si>
  <si>
    <t>Monto anual de mantenimiento preventido (ejecutado o proyectado) 2025</t>
  </si>
  <si>
    <t>Monto anual de mantenimiento preventido (ejecutado o proyectado) 2026</t>
  </si>
  <si>
    <t>Monto anual de mantenimiento preventido (ejecutado o proyectado) 2027</t>
  </si>
  <si>
    <t>Monto anual de mantenimiento preventido (ejecutado o proyectado) 2028</t>
  </si>
  <si>
    <t>Monto anual de mantenimiento correctivo (ejecutado o proyectado) 2025</t>
  </si>
  <si>
    <t>Monto anual de mantenimiento correctivo (ejecutado o proyectado) 2026</t>
  </si>
  <si>
    <t>Monto anual de mantenimiento correctivo (ejecutado o proyectado) 2027</t>
  </si>
  <si>
    <t>Monto anual de mantenimiento correctivo (ejecutado o proyectado) 2028</t>
  </si>
  <si>
    <t>-	ALCANCE: Activos intervenidos (equipamiento educativo, mobiliario, instalaciones sanitarias, instalaciones eléctricas y mecánicas, tecnologías de la información y comunicaciones, sistemas de detección y alarmas, coberturas, acabados y exteriores).</t>
  </si>
  <si>
    <t>Avance (%)</t>
  </si>
  <si>
    <t>Año de la entrega del PEIP</t>
  </si>
  <si>
    <t>Fecha de inicio del mantenimiento (o estimada)</t>
  </si>
  <si>
    <t>Fecha de culminación de mantenimiento (o estimada)</t>
  </si>
  <si>
    <t>I.E. JORGE BASADRE GROHMANN</t>
  </si>
  <si>
    <t>NINGUNO</t>
  </si>
  <si>
    <t xml:space="preserve">No se cuenta con presupuesto asignado a la fecha </t>
  </si>
  <si>
    <t>I.E. NUESTRA SEÑORA DE LA VISITACION</t>
  </si>
  <si>
    <t>I.E. JOSE DE LA TORRE UGARTE</t>
  </si>
  <si>
    <t>I.E. SAN FELIPE</t>
  </si>
  <si>
    <t>IE 1268 Gustavo Mohme</t>
  </si>
  <si>
    <t>IE 1209 Mscal. Toribio Luzuriaga</t>
  </si>
  <si>
    <t>IE Manuel Gonzales Prada</t>
  </si>
  <si>
    <t>IE 046 Victor Raul Haya de la T</t>
  </si>
  <si>
    <t>IE 1267</t>
  </si>
  <si>
    <t xml:space="preserve">IE Peru Canada </t>
  </si>
  <si>
    <t>IE 1255 Walter Peñaloza</t>
  </si>
  <si>
    <t>IE 034</t>
  </si>
  <si>
    <t>IE 1235 UNION LATINOAMERICANA</t>
  </si>
  <si>
    <t>IE 6094 SANTA ROSA</t>
  </si>
  <si>
    <t>IE 0083 SAN JUAN MACIAS</t>
  </si>
  <si>
    <t>IE 1221 MARIA PARADO DE BELLIDO</t>
  </si>
  <si>
    <t>IE 7207 MARISCAL RAMÓN CASTILLA</t>
  </si>
  <si>
    <t>IE 7086 LOS PRECURSORES</t>
  </si>
  <si>
    <t>IE 6082 LOS PROCERES</t>
  </si>
  <si>
    <t>IE JAVIER HERAUD</t>
  </si>
  <si>
    <t>IE 2099 ROSA MERINO</t>
  </si>
  <si>
    <t>IE 101- 1166 LIBERTADOR SIMÓN BOLIVAR</t>
  </si>
  <si>
    <t>IE 1124 JOSE MARTÍ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</si>
</sst>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theme="1"/>
      <name val="Arial"/>
    </font>
    <font>
      <b/>
      <sz val="10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9" fontId="1" fillId="0" borderId="0" xfId="1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164" fontId="1" fillId="0" borderId="1" xfId="0" applyNumberFormat="1" applyFont="1" applyBorder="1" applyAlignment="1">
      <alignment vertical="center"/>
    </xf>
    <xf numFmtId="14" fontId="1" fillId="0" borderId="0" xfId="0" applyNumberFormat="1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10" fontId="1" fillId="0" borderId="1" xfId="1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1" fillId="0" borderId="1" xfId="2" applyFont="1" applyBorder="1" applyAlignment="1">
      <alignment horizontal="center" vertical="center"/>
    </xf>
    <xf numFmtId="0" fontId="5" fillId="0" borderId="1" xfId="2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3" fontId="5" fillId="0" borderId="5" xfId="2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43" fontId="1" fillId="0" borderId="5" xfId="2" applyFont="1" applyBorder="1" applyAlignment="1">
      <alignment horizontal="center" vertical="center"/>
    </xf>
    <xf numFmtId="43" fontId="1" fillId="0" borderId="7" xfId="2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7" fillId="0" borderId="0" xfId="2" applyFont="1" applyBorder="1" applyAlignment="1">
      <alignment horizontal="center" vertical="center"/>
    </xf>
    <xf numFmtId="43" fontId="7" fillId="0" borderId="0" xfId="2" applyFont="1" applyAlignment="1">
      <alignment horizontal="center" vertical="center"/>
    </xf>
    <xf numFmtId="9" fontId="6" fillId="0" borderId="0" xfId="1" applyFon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0" fontId="1" fillId="0" borderId="1" xfId="1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1" applyNumberFormat="1" applyFont="1" applyBorder="1" applyAlignment="1">
      <alignment vertical="center"/>
    </xf>
    <xf numFmtId="10" fontId="1" fillId="0" borderId="0" xfId="1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0" fontId="5" fillId="0" borderId="1" xfId="1" applyNumberFormat="1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4" fontId="1" fillId="0" borderId="0" xfId="0" applyNumberFormat="1" applyFont="1" applyAlignment="1">
      <alignment vertical="center"/>
    </xf>
    <xf numFmtId="43" fontId="9" fillId="0" borderId="0" xfId="2" applyFont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9" fontId="6" fillId="0" borderId="0" xfId="1" applyFont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9" fontId="1" fillId="2" borderId="1" xfId="1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14" fontId="1" fillId="4" borderId="5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ipebpe.sharepoint.com/sites/DIE/Documentos%20compartidos/UAE/100_Transferencias/01_Estado%20situacional%20MC/02_Docs%20Clave/DATA%20MODULOS%20CONTINGENCIAS.xlsx" TargetMode="External"/><Relationship Id="rId1" Type="http://schemas.openxmlformats.org/officeDocument/2006/relationships/externalLinkPath" Target="https://peipebpe.sharepoint.com/sites/DIE/Documentos%20compartidos/UAE/100_Transferencias/01_Estado%20situacional%20MC/02_Docs%20Clave/DATA%20MODULOS%20CONTINGENC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"/>
      <sheetName val="anexo"/>
      <sheetName val="TD GRAL"/>
      <sheetName val="TRANSFER"/>
      <sheetName val="DIEJE"/>
      <sheetName val="TD DIEJE"/>
      <sheetName val="Cant. Módulos x terreno"/>
      <sheetName val="% Estimado de recuperación "/>
      <sheetName val="Tipología de Módulos"/>
      <sheetName val="ESTADOXIE"/>
      <sheetName val="Hoja3"/>
    </sheetNames>
    <sheetDataSet>
      <sheetData sheetId="0">
        <row r="10">
          <cell r="AN10" t="str">
            <v>Institucion beneficiaria actual (codigo local)</v>
          </cell>
        </row>
      </sheetData>
      <sheetData sheetId="1">
        <row r="2">
          <cell r="A2" t="str">
            <v>N°</v>
          </cell>
          <cell r="B2" t="str">
            <v>CUI</v>
          </cell>
          <cell r="C2" t="str">
            <v>Código Local</v>
          </cell>
          <cell r="D2" t="str">
            <v>Nombre del PEIP</v>
          </cell>
          <cell r="E2" t="str">
            <v>Tipo de sistema modular</v>
          </cell>
          <cell r="F2" t="str">
            <v>Cantidad de módulos PEIP</v>
          </cell>
          <cell r="G2" t="str">
            <v>Cantidad de módulos PRONIED</v>
          </cell>
          <cell r="J2" t="str">
            <v>Año de instalación de los módulos</v>
          </cell>
        </row>
        <row r="3">
          <cell r="A3">
            <v>1</v>
          </cell>
          <cell r="B3">
            <v>2455491</v>
          </cell>
          <cell r="C3">
            <v>311224</v>
          </cell>
          <cell r="D3" t="str">
            <v>JORGE BASADRE GROHMANN</v>
          </cell>
          <cell r="E3" t="str">
            <v>PREFABRICADO</v>
          </cell>
          <cell r="F3">
            <v>21</v>
          </cell>
          <cell r="G3">
            <v>0</v>
          </cell>
          <cell r="J3">
            <v>44995</v>
          </cell>
        </row>
        <row r="4">
          <cell r="A4">
            <v>2</v>
          </cell>
          <cell r="B4">
            <v>2488285</v>
          </cell>
          <cell r="C4">
            <v>301913</v>
          </cell>
          <cell r="D4" t="str">
            <v>SAN FELIPE</v>
          </cell>
          <cell r="E4" t="str">
            <v>PREFABRICADO</v>
          </cell>
          <cell r="F4">
            <v>13</v>
          </cell>
          <cell r="G4">
            <v>0</v>
          </cell>
          <cell r="J4">
            <v>44987</v>
          </cell>
        </row>
        <row r="5">
          <cell r="A5">
            <v>3</v>
          </cell>
          <cell r="B5">
            <v>2488285</v>
          </cell>
          <cell r="C5">
            <v>301913</v>
          </cell>
          <cell r="D5" t="str">
            <v>SAN FELIPE</v>
          </cell>
          <cell r="E5" t="str">
            <v>PREFABRICADO</v>
          </cell>
          <cell r="F5">
            <v>17</v>
          </cell>
          <cell r="G5">
            <v>0</v>
          </cell>
          <cell r="J5">
            <v>44987</v>
          </cell>
        </row>
        <row r="6">
          <cell r="A6">
            <v>4</v>
          </cell>
          <cell r="B6">
            <v>2475493</v>
          </cell>
          <cell r="C6">
            <v>304860</v>
          </cell>
          <cell r="D6" t="str">
            <v>0085 JOSE DE LA TORRE UGARTE</v>
          </cell>
          <cell r="E6" t="str">
            <v>PREFABRICADO</v>
          </cell>
          <cell r="F6">
            <v>3</v>
          </cell>
          <cell r="G6">
            <v>0</v>
          </cell>
          <cell r="J6">
            <v>44986</v>
          </cell>
        </row>
        <row r="7">
          <cell r="A7">
            <v>5</v>
          </cell>
          <cell r="B7">
            <v>2465303</v>
          </cell>
          <cell r="C7">
            <v>288054</v>
          </cell>
          <cell r="D7" t="str">
            <v>0035 NUESTRA SEÑORA DE LA VISITACION</v>
          </cell>
          <cell r="E7" t="str">
            <v>PREFABRICADO</v>
          </cell>
          <cell r="F7">
            <v>0</v>
          </cell>
          <cell r="G7">
            <v>0</v>
          </cell>
          <cell r="J7">
            <v>44979</v>
          </cell>
        </row>
        <row r="8">
          <cell r="A8">
            <v>6</v>
          </cell>
          <cell r="B8">
            <v>2459062</v>
          </cell>
          <cell r="C8">
            <v>333099</v>
          </cell>
          <cell r="D8">
            <v>2028</v>
          </cell>
          <cell r="E8" t="str">
            <v>PREFABRICADO</v>
          </cell>
          <cell r="F8">
            <v>31</v>
          </cell>
          <cell r="G8">
            <v>0</v>
          </cell>
          <cell r="J8">
            <v>45261</v>
          </cell>
        </row>
        <row r="9">
          <cell r="A9">
            <v>7</v>
          </cell>
          <cell r="B9">
            <v>2481404</v>
          </cell>
          <cell r="C9">
            <v>305671</v>
          </cell>
          <cell r="D9" t="str">
            <v>09 Y 3094-1 - J. WILLIAM FULBRIGHT</v>
          </cell>
          <cell r="E9" t="str">
            <v>PREFABRICADO</v>
          </cell>
          <cell r="F9">
            <v>14</v>
          </cell>
          <cell r="G9">
            <v>0</v>
          </cell>
          <cell r="J9">
            <v>45334</v>
          </cell>
        </row>
        <row r="10">
          <cell r="A10">
            <v>8</v>
          </cell>
          <cell r="B10">
            <v>2468424</v>
          </cell>
          <cell r="C10">
            <v>305911</v>
          </cell>
          <cell r="D10" t="str">
            <v>3048 - SANTIAGO ANTÚNEZ DE MAYOLO</v>
          </cell>
          <cell r="E10" t="str">
            <v>PREFABRICADO</v>
          </cell>
          <cell r="F10">
            <v>1</v>
          </cell>
          <cell r="G10">
            <v>0</v>
          </cell>
          <cell r="J10">
            <v>45299</v>
          </cell>
        </row>
        <row r="11">
          <cell r="A11">
            <v>9</v>
          </cell>
          <cell r="B11">
            <v>2468424</v>
          </cell>
          <cell r="C11">
            <v>305911</v>
          </cell>
          <cell r="D11" t="str">
            <v>3048 - SANTIAGO ANTÚNEZ DE MAYOLO</v>
          </cell>
          <cell r="E11" t="str">
            <v>PREFABRICADO</v>
          </cell>
          <cell r="F11">
            <v>16</v>
          </cell>
          <cell r="G11">
            <v>9</v>
          </cell>
          <cell r="J11">
            <v>45299</v>
          </cell>
        </row>
        <row r="12">
          <cell r="A12">
            <v>10</v>
          </cell>
          <cell r="B12">
            <v>2468424</v>
          </cell>
          <cell r="C12">
            <v>305911</v>
          </cell>
          <cell r="D12" t="str">
            <v>3048 - SANTIAGO ANTÚNEZ DE MAYOLO</v>
          </cell>
          <cell r="E12" t="str">
            <v>PREFABRICADO</v>
          </cell>
          <cell r="F12">
            <v>0</v>
          </cell>
          <cell r="G12">
            <v>2</v>
          </cell>
          <cell r="J12">
            <v>45299</v>
          </cell>
        </row>
        <row r="13">
          <cell r="A13">
            <v>11</v>
          </cell>
          <cell r="B13">
            <v>2466948</v>
          </cell>
          <cell r="C13">
            <v>311040</v>
          </cell>
          <cell r="D13" t="str">
            <v>2096  PERÚ  JAPÓN</v>
          </cell>
          <cell r="E13" t="str">
            <v>PREFABRICADO</v>
          </cell>
          <cell r="F13">
            <v>23</v>
          </cell>
          <cell r="G13">
            <v>0</v>
          </cell>
          <cell r="J13">
            <v>45259</v>
          </cell>
        </row>
        <row r="14">
          <cell r="A14">
            <v>12</v>
          </cell>
          <cell r="B14">
            <v>2475458</v>
          </cell>
          <cell r="C14">
            <v>333103</v>
          </cell>
          <cell r="D14" t="str">
            <v>2029 - SIMÓN BOLÍVAR</v>
          </cell>
          <cell r="E14" t="str">
            <v>PREFABRICADO</v>
          </cell>
          <cell r="F14">
            <v>25</v>
          </cell>
          <cell r="G14">
            <v>0</v>
          </cell>
          <cell r="J14">
            <v>45264</v>
          </cell>
        </row>
        <row r="15">
          <cell r="A15">
            <v>13</v>
          </cell>
          <cell r="B15">
            <v>2481404</v>
          </cell>
          <cell r="C15">
            <v>305671</v>
          </cell>
          <cell r="D15" t="str">
            <v>09 Y 3094-1 - J. WILLIAM FULBRIGHT</v>
          </cell>
          <cell r="E15" t="str">
            <v>PREFABRICADO</v>
          </cell>
          <cell r="F15">
            <v>19</v>
          </cell>
          <cell r="G15">
            <v>4</v>
          </cell>
          <cell r="J15">
            <v>45334</v>
          </cell>
        </row>
        <row r="16">
          <cell r="A16">
            <v>14</v>
          </cell>
          <cell r="B16">
            <v>2475363</v>
          </cell>
          <cell r="C16">
            <v>305925</v>
          </cell>
          <cell r="D16" t="str">
            <v>3049 - IMPERIO DEL TAHUANTINSUYO</v>
          </cell>
          <cell r="E16" t="str">
            <v>PREFABRICADO</v>
          </cell>
          <cell r="F16">
            <v>43</v>
          </cell>
          <cell r="G16">
            <v>0</v>
          </cell>
          <cell r="J16">
            <v>45329</v>
          </cell>
        </row>
        <row r="17">
          <cell r="A17">
            <v>15</v>
          </cell>
          <cell r="B17">
            <v>2489056</v>
          </cell>
          <cell r="C17">
            <v>142561</v>
          </cell>
          <cell r="D17" t="str">
            <v>GENERAL PRADO</v>
          </cell>
          <cell r="E17" t="str">
            <v>PREFABRICADO</v>
          </cell>
          <cell r="F17">
            <v>41</v>
          </cell>
          <cell r="G17">
            <v>0</v>
          </cell>
          <cell r="J17">
            <v>45257</v>
          </cell>
        </row>
        <row r="18">
          <cell r="A18">
            <v>16</v>
          </cell>
          <cell r="B18">
            <v>2433311</v>
          </cell>
          <cell r="C18">
            <v>296803</v>
          </cell>
          <cell r="D18" t="str">
            <v>3058 VIRGEN DE FATIMA</v>
          </cell>
          <cell r="E18" t="str">
            <v>PREFABRICADO</v>
          </cell>
          <cell r="F18">
            <v>15</v>
          </cell>
          <cell r="G18">
            <v>0</v>
          </cell>
          <cell r="J18">
            <v>45313</v>
          </cell>
        </row>
        <row r="19">
          <cell r="A19">
            <v>17</v>
          </cell>
          <cell r="B19">
            <v>2471211</v>
          </cell>
          <cell r="C19">
            <v>296676</v>
          </cell>
          <cell r="D19">
            <v>2051</v>
          </cell>
          <cell r="E19" t="str">
            <v>PREFABRICADO</v>
          </cell>
          <cell r="F19">
            <v>16</v>
          </cell>
          <cell r="G19">
            <v>1</v>
          </cell>
          <cell r="J19">
            <v>45260</v>
          </cell>
        </row>
        <row r="20">
          <cell r="A20">
            <v>18</v>
          </cell>
          <cell r="B20">
            <v>2475546</v>
          </cell>
          <cell r="C20">
            <v>301437</v>
          </cell>
          <cell r="D20" t="str">
            <v>2100 JUAN VELASCO ALVARADO</v>
          </cell>
          <cell r="E20" t="str">
            <v>PREFABRICADO</v>
          </cell>
          <cell r="F20">
            <v>20</v>
          </cell>
          <cell r="G20">
            <v>0</v>
          </cell>
          <cell r="J20">
            <v>45250</v>
          </cell>
        </row>
        <row r="21">
          <cell r="A21">
            <v>19</v>
          </cell>
          <cell r="B21">
            <v>2457231</v>
          </cell>
          <cell r="C21">
            <v>301753</v>
          </cell>
          <cell r="D21" t="str">
            <v>3065 VIRGEN DEL CARMEN</v>
          </cell>
          <cell r="E21" t="str">
            <v>PREFABRICADO</v>
          </cell>
          <cell r="F21">
            <v>23</v>
          </cell>
          <cell r="G21">
            <v>0</v>
          </cell>
          <cell r="J21">
            <v>45329</v>
          </cell>
        </row>
        <row r="22">
          <cell r="A22">
            <v>20</v>
          </cell>
          <cell r="B22">
            <v>2475484</v>
          </cell>
          <cell r="C22">
            <v>297077</v>
          </cell>
          <cell r="D22" t="str">
            <v xml:space="preserve"> 8184 SAN BENITO</v>
          </cell>
          <cell r="E22" t="str">
            <v>PREFABRICADO</v>
          </cell>
          <cell r="F22">
            <v>22</v>
          </cell>
          <cell r="G22">
            <v>0</v>
          </cell>
          <cell r="J22">
            <v>45302</v>
          </cell>
        </row>
        <row r="23">
          <cell r="A23">
            <v>21</v>
          </cell>
          <cell r="B23">
            <v>2475360</v>
          </cell>
          <cell r="C23">
            <v>319140</v>
          </cell>
          <cell r="D23" t="str">
            <v xml:space="preserve"> 3088 VISTA ALEGRE</v>
          </cell>
          <cell r="E23" t="str">
            <v>PREFABRICADO</v>
          </cell>
          <cell r="F23">
            <v>16</v>
          </cell>
          <cell r="G23">
            <v>14</v>
          </cell>
          <cell r="J23">
            <v>45296</v>
          </cell>
        </row>
        <row r="24">
          <cell r="A24">
            <v>22</v>
          </cell>
          <cell r="B24">
            <v>2485504</v>
          </cell>
          <cell r="C24">
            <v>313732</v>
          </cell>
          <cell r="D24" t="str">
            <v xml:space="preserve"> 1190 FELIPE HUAMAN POMA DE AYALA</v>
          </cell>
          <cell r="E24" t="str">
            <v>PREFABRICADO</v>
          </cell>
          <cell r="F24">
            <v>31</v>
          </cell>
          <cell r="G24">
            <v>4</v>
          </cell>
          <cell r="J24">
            <v>45250</v>
          </cell>
        </row>
        <row r="25">
          <cell r="A25">
            <v>23</v>
          </cell>
          <cell r="B25">
            <v>2482573</v>
          </cell>
          <cell r="C25">
            <v>324962</v>
          </cell>
          <cell r="D25" t="str">
            <v xml:space="preserve"> 0171-01 JUAN VELASCO ALVARADO</v>
          </cell>
          <cell r="E25" t="str">
            <v>PREFABRICADO</v>
          </cell>
          <cell r="F25">
            <v>0</v>
          </cell>
          <cell r="G25">
            <v>4</v>
          </cell>
          <cell r="J25">
            <v>45345</v>
          </cell>
        </row>
        <row r="26">
          <cell r="A26">
            <v>24</v>
          </cell>
          <cell r="B26">
            <v>2482573</v>
          </cell>
          <cell r="C26">
            <v>324962</v>
          </cell>
          <cell r="D26" t="str">
            <v xml:space="preserve"> 0171-01 JUAN VELASCO ALVARADO</v>
          </cell>
          <cell r="E26" t="str">
            <v>PREFABRICADO</v>
          </cell>
          <cell r="F26">
            <v>36</v>
          </cell>
          <cell r="G26">
            <v>0</v>
          </cell>
          <cell r="J26">
            <v>45345</v>
          </cell>
        </row>
        <row r="27">
          <cell r="A27">
            <v>25</v>
          </cell>
          <cell r="B27">
            <v>2475527</v>
          </cell>
          <cell r="C27">
            <v>325264</v>
          </cell>
          <cell r="D27" t="str">
            <v xml:space="preserve"> FRANCISCO BOLOGNESI CERVANTES</v>
          </cell>
          <cell r="E27" t="str">
            <v>PREFABRICADO</v>
          </cell>
          <cell r="F27">
            <v>23</v>
          </cell>
          <cell r="G27">
            <v>0</v>
          </cell>
          <cell r="J27">
            <v>45344</v>
          </cell>
        </row>
        <row r="28">
          <cell r="A28">
            <v>26</v>
          </cell>
          <cell r="B28">
            <v>2475527</v>
          </cell>
          <cell r="C28">
            <v>325264</v>
          </cell>
          <cell r="D28" t="str">
            <v xml:space="preserve"> FRANCISCO BOLOGNESI CERVANTES</v>
          </cell>
          <cell r="E28" t="str">
            <v>PREFABRICADO</v>
          </cell>
          <cell r="F28">
            <v>8</v>
          </cell>
          <cell r="G28">
            <v>0</v>
          </cell>
          <cell r="J28">
            <v>45344</v>
          </cell>
        </row>
        <row r="29">
          <cell r="A29">
            <v>27</v>
          </cell>
          <cell r="B29">
            <v>2475527</v>
          </cell>
          <cell r="C29">
            <v>325264</v>
          </cell>
          <cell r="D29" t="str">
            <v xml:space="preserve"> FRANCISCO BOLOGNESI CERVANTES</v>
          </cell>
          <cell r="E29" t="str">
            <v>PREFABRICADO</v>
          </cell>
          <cell r="F29">
            <v>22</v>
          </cell>
          <cell r="G29">
            <v>0</v>
          </cell>
          <cell r="J29">
            <v>45344</v>
          </cell>
        </row>
        <row r="30">
          <cell r="A30">
            <v>28</v>
          </cell>
          <cell r="B30">
            <v>2465785</v>
          </cell>
          <cell r="C30">
            <v>324702</v>
          </cell>
          <cell r="D30" t="str">
            <v xml:space="preserve"> 142 MARTIR DANL ALCIDES CARRION</v>
          </cell>
          <cell r="E30" t="str">
            <v>PREFABRICADO</v>
          </cell>
          <cell r="F30">
            <v>30</v>
          </cell>
          <cell r="G30">
            <v>13</v>
          </cell>
          <cell r="J30">
            <v>45321</v>
          </cell>
        </row>
        <row r="31">
          <cell r="A31">
            <v>29</v>
          </cell>
          <cell r="B31">
            <v>2465785</v>
          </cell>
          <cell r="C31">
            <v>324702</v>
          </cell>
          <cell r="D31" t="str">
            <v xml:space="preserve"> 142 MARTIR DANL ALCIDES CARRION</v>
          </cell>
          <cell r="E31" t="str">
            <v>PREFABRICADO</v>
          </cell>
          <cell r="F31">
            <v>14</v>
          </cell>
          <cell r="G31">
            <v>0</v>
          </cell>
          <cell r="J31">
            <v>45321</v>
          </cell>
        </row>
        <row r="32">
          <cell r="A32">
            <v>30</v>
          </cell>
          <cell r="B32">
            <v>2471292</v>
          </cell>
          <cell r="C32">
            <v>324844</v>
          </cell>
          <cell r="D32" t="str">
            <v xml:space="preserve"> 0159 10 DE OCTUBRE</v>
          </cell>
          <cell r="E32" t="str">
            <v>PREFABRICADO</v>
          </cell>
          <cell r="F32">
            <v>35</v>
          </cell>
          <cell r="G32">
            <v>5</v>
          </cell>
          <cell r="J32">
            <v>45289</v>
          </cell>
        </row>
        <row r="33">
          <cell r="A33">
            <v>31</v>
          </cell>
          <cell r="B33">
            <v>2475512</v>
          </cell>
          <cell r="C33">
            <v>325301</v>
          </cell>
          <cell r="D33" t="str">
            <v xml:space="preserve"> RAMIRO PRIALE PRIALE</v>
          </cell>
          <cell r="E33" t="str">
            <v>PREFABRICADO</v>
          </cell>
          <cell r="F33">
            <v>19</v>
          </cell>
          <cell r="G33">
            <v>0</v>
          </cell>
          <cell r="J33">
            <v>45279</v>
          </cell>
        </row>
        <row r="34">
          <cell r="A34">
            <v>32</v>
          </cell>
          <cell r="B34">
            <v>2485449</v>
          </cell>
          <cell r="C34">
            <v>324900</v>
          </cell>
          <cell r="D34" t="str">
            <v xml:space="preserve"> 166 KAROL WOJTYLA</v>
          </cell>
          <cell r="E34" t="str">
            <v>PREFABRICADO</v>
          </cell>
          <cell r="F34">
            <v>21</v>
          </cell>
          <cell r="G34">
            <v>0</v>
          </cell>
          <cell r="J34">
            <v>45321</v>
          </cell>
        </row>
        <row r="35">
          <cell r="A35">
            <v>33</v>
          </cell>
          <cell r="B35">
            <v>2485449</v>
          </cell>
          <cell r="C35">
            <v>324900</v>
          </cell>
          <cell r="D35" t="str">
            <v xml:space="preserve"> 166 KAROL WOJTYLA</v>
          </cell>
          <cell r="E35" t="str">
            <v>PREFABRICADO</v>
          </cell>
          <cell r="F35">
            <v>18</v>
          </cell>
          <cell r="G35">
            <v>0</v>
          </cell>
          <cell r="J35">
            <v>45321</v>
          </cell>
        </row>
        <row r="36">
          <cell r="A36">
            <v>34</v>
          </cell>
          <cell r="B36">
            <v>2465018</v>
          </cell>
          <cell r="C36">
            <v>324622</v>
          </cell>
          <cell r="D36" t="str">
            <v xml:space="preserve"> 0132 TORIBIO DE LUZURIAGA Y MEJÍA</v>
          </cell>
          <cell r="E36" t="str">
            <v>PREFABRICADO</v>
          </cell>
          <cell r="F36">
            <v>18</v>
          </cell>
          <cell r="G36">
            <v>0</v>
          </cell>
          <cell r="J36">
            <v>45348</v>
          </cell>
        </row>
        <row r="37">
          <cell r="A37">
            <v>35</v>
          </cell>
          <cell r="B37">
            <v>2465018</v>
          </cell>
          <cell r="C37">
            <v>324622</v>
          </cell>
          <cell r="D37" t="str">
            <v xml:space="preserve"> 0132 TORIBIO DE LUZURIAGA Y MEJÍA</v>
          </cell>
          <cell r="E37" t="str">
            <v>PREFABRICADO</v>
          </cell>
          <cell r="F37">
            <v>15</v>
          </cell>
          <cell r="G37">
            <v>0</v>
          </cell>
          <cell r="J37">
            <v>45348</v>
          </cell>
        </row>
        <row r="38">
          <cell r="A38">
            <v>36</v>
          </cell>
          <cell r="B38">
            <v>2465018</v>
          </cell>
          <cell r="C38">
            <v>324622</v>
          </cell>
          <cell r="D38" t="str">
            <v xml:space="preserve"> 0132 TORIBIO DE LUZURIAGA Y MEJÍA</v>
          </cell>
          <cell r="E38" t="str">
            <v>PREFABRICADO</v>
          </cell>
          <cell r="F38">
            <v>10</v>
          </cell>
          <cell r="G38">
            <v>0</v>
          </cell>
          <cell r="J38">
            <v>45348</v>
          </cell>
        </row>
        <row r="39">
          <cell r="A39">
            <v>37</v>
          </cell>
          <cell r="B39">
            <v>2487501</v>
          </cell>
          <cell r="C39">
            <v>324523</v>
          </cell>
          <cell r="D39" t="str">
            <v xml:space="preserve"> 109 INCA MANCO CAPAC</v>
          </cell>
          <cell r="E39" t="str">
            <v>PREFABRICADO</v>
          </cell>
          <cell r="F39">
            <v>34</v>
          </cell>
          <cell r="G39">
            <v>0</v>
          </cell>
          <cell r="J39">
            <v>45314</v>
          </cell>
        </row>
        <row r="40">
          <cell r="A40">
            <v>38</v>
          </cell>
          <cell r="B40">
            <v>2475599</v>
          </cell>
          <cell r="C40">
            <v>325202</v>
          </cell>
          <cell r="D40" t="str">
            <v xml:space="preserve"> 1179 TOMAS ALVA EDISON</v>
          </cell>
          <cell r="E40" t="str">
            <v>PREFABRICADO</v>
          </cell>
          <cell r="F40">
            <v>19</v>
          </cell>
          <cell r="G40">
            <v>6</v>
          </cell>
          <cell r="J40">
            <v>45341</v>
          </cell>
        </row>
        <row r="41">
          <cell r="A41">
            <v>39</v>
          </cell>
          <cell r="B41">
            <v>2475306</v>
          </cell>
          <cell r="C41">
            <v>324504</v>
          </cell>
          <cell r="D41">
            <v>100</v>
          </cell>
          <cell r="E41" t="str">
            <v>PREFABRICADO</v>
          </cell>
          <cell r="F41">
            <v>7</v>
          </cell>
          <cell r="G41">
            <v>24</v>
          </cell>
          <cell r="J41">
            <v>45257</v>
          </cell>
        </row>
        <row r="42">
          <cell r="A42">
            <v>40</v>
          </cell>
          <cell r="B42">
            <v>2481555</v>
          </cell>
          <cell r="C42">
            <v>324721</v>
          </cell>
          <cell r="D42" t="str">
            <v xml:space="preserve"> 145 INDEPENDENCIA AMERICANA</v>
          </cell>
          <cell r="E42" t="str">
            <v>PREFABRICADO</v>
          </cell>
          <cell r="F42">
            <v>38</v>
          </cell>
          <cell r="G42">
            <v>2</v>
          </cell>
          <cell r="J42">
            <v>45342</v>
          </cell>
        </row>
        <row r="43">
          <cell r="A43">
            <v>41</v>
          </cell>
          <cell r="B43">
            <v>2481775</v>
          </cell>
          <cell r="C43">
            <v>324684</v>
          </cell>
          <cell r="D43" t="str">
            <v xml:space="preserve"> 0139 GRAN AMAUTA MARIÁTEGUI</v>
          </cell>
          <cell r="E43" t="str">
            <v>PREFABRICADO</v>
          </cell>
          <cell r="F43">
            <v>32</v>
          </cell>
          <cell r="G43">
            <v>0</v>
          </cell>
          <cell r="J43">
            <v>45289</v>
          </cell>
        </row>
        <row r="44">
          <cell r="A44">
            <v>42</v>
          </cell>
          <cell r="B44">
            <v>2455343</v>
          </cell>
          <cell r="C44">
            <v>324580</v>
          </cell>
          <cell r="D44" t="str">
            <v xml:space="preserve"> 126 JAVIER PÉREZ DE CUELLAR</v>
          </cell>
          <cell r="E44" t="str">
            <v>PREFABRICADO</v>
          </cell>
          <cell r="F44">
            <v>22</v>
          </cell>
          <cell r="G44">
            <v>6</v>
          </cell>
          <cell r="J44">
            <v>45289</v>
          </cell>
        </row>
        <row r="45">
          <cell r="A45">
            <v>43</v>
          </cell>
          <cell r="B45">
            <v>2480865</v>
          </cell>
          <cell r="C45">
            <v>324882</v>
          </cell>
          <cell r="D45" t="str">
            <v xml:space="preserve"> 163 TENNTE CORONEL EP NESTOR ESCUDERO OTERO</v>
          </cell>
          <cell r="E45" t="str">
            <v>PREFABRICADO</v>
          </cell>
          <cell r="F45">
            <v>43</v>
          </cell>
          <cell r="G45">
            <v>2</v>
          </cell>
          <cell r="J45">
            <v>45289</v>
          </cell>
        </row>
        <row r="46">
          <cell r="A46">
            <v>44</v>
          </cell>
          <cell r="B46">
            <v>2475674</v>
          </cell>
          <cell r="C46">
            <v>311083</v>
          </cell>
          <cell r="D46" t="str">
            <v xml:space="preserve"> 3080 - PERÚ - CANADÁ</v>
          </cell>
          <cell r="E46" t="str">
            <v>PREFABRICADO</v>
          </cell>
          <cell r="F46">
            <v>17</v>
          </cell>
          <cell r="G46">
            <v>3</v>
          </cell>
          <cell r="J46">
            <v>45026</v>
          </cell>
        </row>
        <row r="47">
          <cell r="A47">
            <v>45</v>
          </cell>
          <cell r="B47">
            <v>2475674</v>
          </cell>
          <cell r="C47">
            <v>311083</v>
          </cell>
          <cell r="D47" t="str">
            <v xml:space="preserve"> 3080 - PERÚ - CANADÁ</v>
          </cell>
          <cell r="E47" t="str">
            <v>PREFABRICADO</v>
          </cell>
          <cell r="F47">
            <v>9</v>
          </cell>
          <cell r="G47">
            <v>0</v>
          </cell>
          <cell r="J47">
            <v>45026</v>
          </cell>
        </row>
        <row r="48">
          <cell r="A48">
            <v>46</v>
          </cell>
          <cell r="B48">
            <v>2457878</v>
          </cell>
          <cell r="C48">
            <v>291792</v>
          </cell>
          <cell r="D48" t="str">
            <v xml:space="preserve"> 1268 GUSTAVO MOHME LLONA</v>
          </cell>
          <cell r="E48" t="str">
            <v>PREFABRICADO</v>
          </cell>
          <cell r="F48">
            <v>11</v>
          </cell>
          <cell r="G48">
            <v>5</v>
          </cell>
          <cell r="J48">
            <v>45048</v>
          </cell>
        </row>
        <row r="49">
          <cell r="A49">
            <v>47</v>
          </cell>
          <cell r="B49">
            <v>2457878</v>
          </cell>
          <cell r="C49">
            <v>291792</v>
          </cell>
          <cell r="D49" t="str">
            <v xml:space="preserve"> 1268 GUSTAVO MOHME LLONA</v>
          </cell>
          <cell r="E49" t="str">
            <v>PREFABRICADO</v>
          </cell>
          <cell r="F49">
            <v>6</v>
          </cell>
          <cell r="G49">
            <v>4</v>
          </cell>
          <cell r="J49">
            <v>45048</v>
          </cell>
        </row>
        <row r="50">
          <cell r="A50">
            <v>48</v>
          </cell>
          <cell r="B50">
            <v>2457878</v>
          </cell>
          <cell r="C50">
            <v>291792</v>
          </cell>
          <cell r="D50" t="str">
            <v xml:space="preserve"> 1268 GUSTAVO MOHME LLONA</v>
          </cell>
          <cell r="E50" t="str">
            <v>PREFABRICADO</v>
          </cell>
          <cell r="F50">
            <v>3</v>
          </cell>
          <cell r="G50">
            <v>2</v>
          </cell>
          <cell r="J50">
            <v>45048</v>
          </cell>
        </row>
        <row r="51">
          <cell r="A51">
            <v>49</v>
          </cell>
          <cell r="B51">
            <v>2468688</v>
          </cell>
          <cell r="C51">
            <v>292126</v>
          </cell>
          <cell r="D51" t="str">
            <v xml:space="preserve"> MANUEL GONZALES PRADA</v>
          </cell>
          <cell r="E51" t="str">
            <v>PREFABRICADO</v>
          </cell>
          <cell r="F51">
            <v>24</v>
          </cell>
          <cell r="G51">
            <v>15</v>
          </cell>
          <cell r="J51">
            <v>45061</v>
          </cell>
        </row>
        <row r="52">
          <cell r="A52">
            <v>50</v>
          </cell>
          <cell r="B52">
            <v>2468688</v>
          </cell>
          <cell r="C52">
            <v>292126</v>
          </cell>
          <cell r="D52" t="str">
            <v xml:space="preserve"> MANUEL GONZALES PRADA</v>
          </cell>
          <cell r="E52" t="str">
            <v>PREFABRICADO</v>
          </cell>
          <cell r="F52">
            <v>10</v>
          </cell>
          <cell r="G52">
            <v>0</v>
          </cell>
          <cell r="J52">
            <v>45061</v>
          </cell>
        </row>
        <row r="53">
          <cell r="A53">
            <v>51</v>
          </cell>
          <cell r="B53">
            <v>2468688</v>
          </cell>
          <cell r="C53">
            <v>292126</v>
          </cell>
          <cell r="D53" t="str">
            <v xml:space="preserve"> MANUEL GONZALES PRADA</v>
          </cell>
          <cell r="E53" t="str">
            <v>PREFABRICADO</v>
          </cell>
          <cell r="F53">
            <v>6</v>
          </cell>
          <cell r="G53">
            <v>0</v>
          </cell>
          <cell r="J53">
            <v>45061</v>
          </cell>
        </row>
        <row r="54">
          <cell r="A54">
            <v>52</v>
          </cell>
          <cell r="B54">
            <v>2468688</v>
          </cell>
          <cell r="C54">
            <v>292126</v>
          </cell>
          <cell r="D54" t="str">
            <v xml:space="preserve"> MANUEL GONZALES PRADA</v>
          </cell>
          <cell r="E54" t="str">
            <v>PREFABRICADO</v>
          </cell>
          <cell r="F54">
            <v>19</v>
          </cell>
          <cell r="G54">
            <v>0</v>
          </cell>
          <cell r="J54">
            <v>45061</v>
          </cell>
        </row>
        <row r="55">
          <cell r="A55">
            <v>53</v>
          </cell>
          <cell r="B55">
            <v>2485617</v>
          </cell>
          <cell r="C55">
            <v>292268</v>
          </cell>
          <cell r="D55" t="str">
            <v xml:space="preserve"> 0034</v>
          </cell>
          <cell r="E55" t="str">
            <v>PREFABRICADO</v>
          </cell>
          <cell r="F55">
            <v>20</v>
          </cell>
          <cell r="G55">
            <v>0</v>
          </cell>
          <cell r="J55">
            <v>45012</v>
          </cell>
        </row>
        <row r="56">
          <cell r="A56">
            <v>54</v>
          </cell>
          <cell r="B56">
            <v>2461341</v>
          </cell>
          <cell r="C56">
            <v>292490</v>
          </cell>
          <cell r="D56" t="str">
            <v xml:space="preserve"> 1209 MARISCAL TORIBIO DE LUZURIAGA</v>
          </cell>
          <cell r="E56" t="str">
            <v>PREFABRICADO</v>
          </cell>
          <cell r="F56">
            <v>12</v>
          </cell>
          <cell r="G56">
            <v>3</v>
          </cell>
          <cell r="J56">
            <v>45040</v>
          </cell>
        </row>
        <row r="57">
          <cell r="A57">
            <v>55</v>
          </cell>
          <cell r="B57">
            <v>2475706</v>
          </cell>
          <cell r="C57">
            <v>313591</v>
          </cell>
          <cell r="D57" t="str">
            <v xml:space="preserve"> 1267</v>
          </cell>
          <cell r="E57" t="str">
            <v>PREFABRICADO</v>
          </cell>
          <cell r="F57">
            <v>16</v>
          </cell>
          <cell r="G57">
            <v>3</v>
          </cell>
          <cell r="J57">
            <v>45005</v>
          </cell>
        </row>
        <row r="58">
          <cell r="A58">
            <v>56</v>
          </cell>
          <cell r="B58">
            <v>2475706</v>
          </cell>
          <cell r="C58">
            <v>313591</v>
          </cell>
          <cell r="D58" t="str">
            <v xml:space="preserve"> 1267</v>
          </cell>
          <cell r="E58" t="str">
            <v>PREFABRICADO</v>
          </cell>
          <cell r="F58">
            <v>16</v>
          </cell>
          <cell r="G58">
            <v>2</v>
          </cell>
          <cell r="J58">
            <v>45005</v>
          </cell>
        </row>
        <row r="59">
          <cell r="A59">
            <v>57</v>
          </cell>
          <cell r="B59">
            <v>2481449</v>
          </cell>
          <cell r="C59">
            <v>292598</v>
          </cell>
          <cell r="D59" t="str">
            <v xml:space="preserve"> 1255 WALTER PEÑALOZA</v>
          </cell>
          <cell r="E59" t="str">
            <v>PREFABRICADO</v>
          </cell>
          <cell r="F59">
            <v>24</v>
          </cell>
          <cell r="G59">
            <v>8</v>
          </cell>
          <cell r="J59">
            <v>45033</v>
          </cell>
        </row>
        <row r="60">
          <cell r="A60">
            <v>58</v>
          </cell>
          <cell r="B60">
            <v>2485212</v>
          </cell>
          <cell r="C60">
            <v>292254</v>
          </cell>
          <cell r="D60" t="str">
            <v xml:space="preserve"> 046 VÍCTOR RAÚL HAYA DE LA TORRE</v>
          </cell>
          <cell r="E60" t="str">
            <v>PREFABRICADO</v>
          </cell>
          <cell r="F60">
            <v>5</v>
          </cell>
          <cell r="G60">
            <v>18</v>
          </cell>
          <cell r="J60">
            <v>45012</v>
          </cell>
        </row>
        <row r="61">
          <cell r="A61">
            <v>59</v>
          </cell>
          <cell r="B61">
            <v>2462240</v>
          </cell>
          <cell r="C61">
            <v>329889</v>
          </cell>
          <cell r="D61" t="str">
            <v xml:space="preserve"> 7207 MCAL.RAMON CASTILLA</v>
          </cell>
          <cell r="E61" t="str">
            <v>PREFABRICADO</v>
          </cell>
          <cell r="F61">
            <v>26</v>
          </cell>
          <cell r="G61">
            <v>0</v>
          </cell>
          <cell r="J61">
            <v>45110</v>
          </cell>
        </row>
        <row r="62">
          <cell r="A62">
            <v>60</v>
          </cell>
          <cell r="B62">
            <v>2468576</v>
          </cell>
          <cell r="C62">
            <v>320600</v>
          </cell>
          <cell r="D62" t="str">
            <v xml:space="preserve"> 2099 PATRICIA ROSA MERINO</v>
          </cell>
          <cell r="E62" t="str">
            <v>PREFABRICADO</v>
          </cell>
          <cell r="F62">
            <v>10</v>
          </cell>
          <cell r="G62">
            <v>1</v>
          </cell>
          <cell r="J62">
            <v>45048</v>
          </cell>
        </row>
        <row r="63">
          <cell r="A63">
            <v>61</v>
          </cell>
          <cell r="B63">
            <v>2459714</v>
          </cell>
          <cell r="C63">
            <v>329974</v>
          </cell>
          <cell r="D63" t="str">
            <v xml:space="preserve"> JAVIER HERAUD</v>
          </cell>
          <cell r="E63" t="str">
            <v>PREFABRICADO</v>
          </cell>
          <cell r="F63">
            <v>25</v>
          </cell>
          <cell r="G63">
            <v>16</v>
          </cell>
          <cell r="J63">
            <v>45054</v>
          </cell>
        </row>
        <row r="64">
          <cell r="A64">
            <v>62</v>
          </cell>
          <cell r="B64">
            <v>2488279</v>
          </cell>
          <cell r="C64">
            <v>287988</v>
          </cell>
          <cell r="D64" t="str">
            <v xml:space="preserve"> 101 LIBERTADOR SIMON BOLIVAR /  1166 LIBERTADOR SIMON BOLIVAR</v>
          </cell>
          <cell r="E64" t="str">
            <v>PREFABRICADO</v>
          </cell>
          <cell r="F64">
            <v>1</v>
          </cell>
          <cell r="G64">
            <v>4</v>
          </cell>
          <cell r="J64">
            <v>45026</v>
          </cell>
        </row>
        <row r="65">
          <cell r="A65">
            <v>63</v>
          </cell>
          <cell r="B65">
            <v>2488279</v>
          </cell>
          <cell r="C65">
            <v>287988</v>
          </cell>
          <cell r="D65" t="str">
            <v xml:space="preserve"> 101 LIBERTADOR SIMON BOLIVAR /  1166 LIBERTADOR SIMON BOLIVAR</v>
          </cell>
          <cell r="E65" t="str">
            <v>PREFABRICADO</v>
          </cell>
          <cell r="F65">
            <v>2</v>
          </cell>
          <cell r="G65">
            <v>0</v>
          </cell>
          <cell r="J65">
            <v>45026</v>
          </cell>
        </row>
        <row r="66">
          <cell r="A66">
            <v>64</v>
          </cell>
          <cell r="B66">
            <v>2488279</v>
          </cell>
          <cell r="C66">
            <v>287988</v>
          </cell>
          <cell r="D66" t="str">
            <v xml:space="preserve"> 101 LIBERTADOR SIMON BOLIVAR /  1166 LIBERTADOR SIMON BOLIVAR</v>
          </cell>
          <cell r="E66" t="str">
            <v>PREFABRICADO</v>
          </cell>
          <cell r="F66">
            <v>1</v>
          </cell>
          <cell r="G66">
            <v>0</v>
          </cell>
          <cell r="J66">
            <v>45026</v>
          </cell>
        </row>
        <row r="67">
          <cell r="A67">
            <v>65</v>
          </cell>
          <cell r="B67">
            <v>2485549</v>
          </cell>
          <cell r="C67">
            <v>340231</v>
          </cell>
          <cell r="D67" t="str">
            <v xml:space="preserve"> 7086 LOS PRECURSORES</v>
          </cell>
          <cell r="E67" t="str">
            <v>PREFABRICADO</v>
          </cell>
          <cell r="F67">
            <v>25</v>
          </cell>
          <cell r="G67">
            <v>0</v>
          </cell>
          <cell r="J67">
            <v>45350</v>
          </cell>
        </row>
        <row r="68">
          <cell r="A68">
            <v>66</v>
          </cell>
          <cell r="B68">
            <v>2485549</v>
          </cell>
          <cell r="C68">
            <v>340231</v>
          </cell>
          <cell r="D68" t="str">
            <v xml:space="preserve"> 7086 LOS PRECURSORES</v>
          </cell>
          <cell r="E68" t="str">
            <v>PREFABRICADO</v>
          </cell>
          <cell r="F68">
            <v>8</v>
          </cell>
          <cell r="G68">
            <v>1</v>
          </cell>
          <cell r="J68">
            <v>45350</v>
          </cell>
        </row>
        <row r="69">
          <cell r="A69">
            <v>67</v>
          </cell>
          <cell r="B69">
            <v>2485468</v>
          </cell>
          <cell r="C69">
            <v>298816</v>
          </cell>
          <cell r="D69" t="str">
            <v xml:space="preserve"> 6094 SANTA ROSA</v>
          </cell>
          <cell r="E69" t="str">
            <v>PREFABRICADO</v>
          </cell>
          <cell r="F69">
            <v>14</v>
          </cell>
          <cell r="G69">
            <v>4</v>
          </cell>
          <cell r="J69">
            <v>45008</v>
          </cell>
        </row>
        <row r="70">
          <cell r="A70">
            <v>68</v>
          </cell>
          <cell r="B70">
            <v>2485468</v>
          </cell>
          <cell r="C70">
            <v>298816</v>
          </cell>
          <cell r="D70" t="str">
            <v xml:space="preserve"> 6094 SANTA ROSA</v>
          </cell>
          <cell r="E70" t="str">
            <v>PREFABRICADO</v>
          </cell>
          <cell r="F70">
            <v>6</v>
          </cell>
          <cell r="G70">
            <v>6</v>
          </cell>
          <cell r="J70">
            <v>45008</v>
          </cell>
        </row>
        <row r="71">
          <cell r="A71">
            <v>69</v>
          </cell>
          <cell r="B71">
            <v>2487949</v>
          </cell>
          <cell r="C71">
            <v>308783</v>
          </cell>
          <cell r="D71" t="str">
            <v>1124 JOSE MARTI</v>
          </cell>
          <cell r="E71" t="str">
            <v>PREFABRICADO</v>
          </cell>
          <cell r="F71">
            <v>0</v>
          </cell>
          <cell r="G71">
            <v>0</v>
          </cell>
          <cell r="J71">
            <v>45005</v>
          </cell>
        </row>
        <row r="72">
          <cell r="A72">
            <v>70</v>
          </cell>
          <cell r="B72">
            <v>2463380</v>
          </cell>
          <cell r="C72">
            <v>332165</v>
          </cell>
          <cell r="D72" t="str">
            <v xml:space="preserve"> 0083 SAN JUAN MACIAS</v>
          </cell>
          <cell r="E72" t="str">
            <v>PREFABRICADO</v>
          </cell>
          <cell r="F72">
            <v>10</v>
          </cell>
          <cell r="G72">
            <v>0</v>
          </cell>
          <cell r="J72">
            <v>45351</v>
          </cell>
        </row>
        <row r="73">
          <cell r="A73">
            <v>71</v>
          </cell>
          <cell r="B73">
            <v>2463380</v>
          </cell>
          <cell r="C73">
            <v>332165</v>
          </cell>
          <cell r="D73" t="str">
            <v xml:space="preserve"> 0083 SAN JUAN MACIAS</v>
          </cell>
          <cell r="E73" t="str">
            <v>PREFABRICADO</v>
          </cell>
          <cell r="F73">
            <v>0</v>
          </cell>
          <cell r="G73">
            <v>0</v>
          </cell>
          <cell r="J73">
            <v>45351</v>
          </cell>
        </row>
        <row r="74">
          <cell r="A74">
            <v>72</v>
          </cell>
          <cell r="B74">
            <v>2482927</v>
          </cell>
          <cell r="C74">
            <v>340189</v>
          </cell>
          <cell r="D74" t="str">
            <v xml:space="preserve"> 6082 LOS PROCERES</v>
          </cell>
          <cell r="E74" t="str">
            <v>PREFABRICADO</v>
          </cell>
          <cell r="F74">
            <v>0</v>
          </cell>
          <cell r="G74">
            <v>1</v>
          </cell>
          <cell r="J74">
            <v>45338</v>
          </cell>
        </row>
        <row r="75">
          <cell r="A75">
            <v>73</v>
          </cell>
          <cell r="B75">
            <v>2482927</v>
          </cell>
          <cell r="C75">
            <v>340189</v>
          </cell>
          <cell r="D75" t="str">
            <v xml:space="preserve"> 6082 LOS PROCERES</v>
          </cell>
          <cell r="E75" t="str">
            <v>PREFABRICADO</v>
          </cell>
          <cell r="F75">
            <v>1</v>
          </cell>
          <cell r="G75">
            <v>0</v>
          </cell>
          <cell r="J75">
            <v>45338</v>
          </cell>
        </row>
        <row r="76">
          <cell r="A76">
            <v>74</v>
          </cell>
          <cell r="B76">
            <v>2482927</v>
          </cell>
          <cell r="C76">
            <v>340189</v>
          </cell>
          <cell r="D76" t="str">
            <v xml:space="preserve"> 6082 LOS PROCERES</v>
          </cell>
          <cell r="E76" t="str">
            <v>PREFABRICADO</v>
          </cell>
          <cell r="F76">
            <v>0</v>
          </cell>
          <cell r="G76">
            <v>0</v>
          </cell>
          <cell r="J76">
            <v>45338</v>
          </cell>
        </row>
        <row r="77">
          <cell r="A77">
            <v>75</v>
          </cell>
          <cell r="B77">
            <v>2475656</v>
          </cell>
          <cell r="C77">
            <v>338855</v>
          </cell>
          <cell r="D77" t="str">
            <v xml:space="preserve"> 1221 MARIA PARADO BELLIDO</v>
          </cell>
          <cell r="E77" t="str">
            <v>PREFABRICADO</v>
          </cell>
          <cell r="F77">
            <v>10</v>
          </cell>
          <cell r="G77">
            <v>0</v>
          </cell>
          <cell r="J77">
            <v>45089</v>
          </cell>
        </row>
        <row r="78">
          <cell r="A78">
            <v>76</v>
          </cell>
          <cell r="B78">
            <v>2475656</v>
          </cell>
          <cell r="C78">
            <v>338855</v>
          </cell>
          <cell r="D78" t="str">
            <v xml:space="preserve"> 1221 MARIA PARADO BELLIDO</v>
          </cell>
          <cell r="E78" t="str">
            <v>PREFABRICADO</v>
          </cell>
          <cell r="F78">
            <v>11</v>
          </cell>
          <cell r="G78">
            <v>0</v>
          </cell>
          <cell r="J78">
            <v>45089</v>
          </cell>
        </row>
        <row r="79">
          <cell r="A79">
            <v>77</v>
          </cell>
          <cell r="B79">
            <v>2475656</v>
          </cell>
          <cell r="C79">
            <v>338855</v>
          </cell>
          <cell r="D79" t="str">
            <v xml:space="preserve"> 1221 MARIA PARADO BELLIDO</v>
          </cell>
          <cell r="E79" t="str">
            <v>PREFABRICADO</v>
          </cell>
          <cell r="F79">
            <v>14</v>
          </cell>
          <cell r="G79">
            <v>0</v>
          </cell>
          <cell r="J79">
            <v>45089</v>
          </cell>
        </row>
        <row r="80">
          <cell r="A80">
            <v>78</v>
          </cell>
          <cell r="B80">
            <v>2471210</v>
          </cell>
          <cell r="C80">
            <v>307458</v>
          </cell>
          <cell r="D80" t="str">
            <v xml:space="preserve"> 1235 UNION LATINOAMERICANA</v>
          </cell>
          <cell r="E80" t="str">
            <v>PREFABRICADO</v>
          </cell>
          <cell r="F80">
            <v>13</v>
          </cell>
          <cell r="G80">
            <v>4</v>
          </cell>
          <cell r="J80">
            <v>45132</v>
          </cell>
        </row>
        <row r="81">
          <cell r="A81">
            <v>79</v>
          </cell>
          <cell r="B81">
            <v>2471210</v>
          </cell>
          <cell r="C81">
            <v>307458</v>
          </cell>
          <cell r="D81" t="str">
            <v xml:space="preserve"> 1235 UNION LATINOAMERICANA</v>
          </cell>
          <cell r="E81" t="str">
            <v>PREFABRICADO</v>
          </cell>
          <cell r="F81">
            <v>21</v>
          </cell>
          <cell r="G81">
            <v>0</v>
          </cell>
          <cell r="J81">
            <v>45132</v>
          </cell>
        </row>
        <row r="82">
          <cell r="A82">
            <v>80</v>
          </cell>
          <cell r="B82">
            <v>2460031</v>
          </cell>
          <cell r="C82">
            <v>343772</v>
          </cell>
          <cell r="D82" t="str">
            <v xml:space="preserve"> 6064 FRANCISCO BOLOGNESI</v>
          </cell>
          <cell r="E82" t="str">
            <v>PREFABRICADO</v>
          </cell>
          <cell r="F82">
            <v>8</v>
          </cell>
          <cell r="G82">
            <v>10</v>
          </cell>
          <cell r="J82">
            <v>45238</v>
          </cell>
        </row>
        <row r="83">
          <cell r="A83">
            <v>81</v>
          </cell>
          <cell r="B83">
            <v>2473874</v>
          </cell>
          <cell r="C83">
            <v>346515</v>
          </cell>
          <cell r="D83" t="str">
            <v xml:space="preserve"> 6011 SANTISIMA VIRGEN DE FATIMA</v>
          </cell>
          <cell r="E83" t="str">
            <v>PREFABRICADO</v>
          </cell>
          <cell r="F83">
            <v>24</v>
          </cell>
          <cell r="G83">
            <v>3</v>
          </cell>
          <cell r="J83">
            <v>45229</v>
          </cell>
        </row>
        <row r="84">
          <cell r="A84">
            <v>82</v>
          </cell>
          <cell r="B84">
            <v>2474099</v>
          </cell>
          <cell r="C84">
            <v>346879</v>
          </cell>
          <cell r="D84" t="str">
            <v xml:space="preserve"> REPUBLICA DEL ECUADOR</v>
          </cell>
          <cell r="E84" t="str">
            <v>PREFABRICADO</v>
          </cell>
          <cell r="F84">
            <v>30</v>
          </cell>
          <cell r="G84">
            <v>3</v>
          </cell>
          <cell r="J84">
            <v>45201</v>
          </cell>
        </row>
        <row r="85">
          <cell r="A85">
            <v>83</v>
          </cell>
          <cell r="B85">
            <v>2482973</v>
          </cell>
          <cell r="C85">
            <v>346695</v>
          </cell>
          <cell r="D85" t="str">
            <v xml:space="preserve"> 6152 STELLA MARIS</v>
          </cell>
          <cell r="E85" t="str">
            <v>PREFABRICADO</v>
          </cell>
          <cell r="F85">
            <v>16</v>
          </cell>
          <cell r="G85">
            <v>40</v>
          </cell>
          <cell r="J85">
            <v>45258</v>
          </cell>
        </row>
        <row r="86">
          <cell r="A86">
            <v>84</v>
          </cell>
          <cell r="B86">
            <v>2489032</v>
          </cell>
          <cell r="C86">
            <v>348388</v>
          </cell>
          <cell r="D86" t="str">
            <v xml:space="preserve"> FE Y ALEGRIA 23</v>
          </cell>
          <cell r="E86" t="str">
            <v>PREFABRICADO</v>
          </cell>
          <cell r="F86">
            <v>28</v>
          </cell>
          <cell r="G86">
            <v>0</v>
          </cell>
          <cell r="J86">
            <v>45210</v>
          </cell>
        </row>
        <row r="87">
          <cell r="A87">
            <v>85</v>
          </cell>
          <cell r="B87">
            <v>2489000</v>
          </cell>
          <cell r="C87">
            <v>348411</v>
          </cell>
          <cell r="D87" t="str">
            <v xml:space="preserve"> FE Y ALEGRIA 24</v>
          </cell>
          <cell r="E87" t="str">
            <v>PREFABRICADO</v>
          </cell>
          <cell r="F87">
            <v>24</v>
          </cell>
          <cell r="G87">
            <v>0</v>
          </cell>
          <cell r="J87">
            <v>45201</v>
          </cell>
        </row>
        <row r="88">
          <cell r="A88">
            <v>86</v>
          </cell>
          <cell r="B88">
            <v>2456389</v>
          </cell>
          <cell r="C88">
            <v>343748</v>
          </cell>
          <cell r="D88" t="str">
            <v xml:space="preserve"> 6048 JORGE BASADRE</v>
          </cell>
          <cell r="E88" t="str">
            <v>PREFABRICADO</v>
          </cell>
          <cell r="F88">
            <v>58</v>
          </cell>
          <cell r="G88">
            <v>1</v>
          </cell>
          <cell r="J88">
            <v>45244</v>
          </cell>
        </row>
        <row r="89">
          <cell r="A89">
            <v>87</v>
          </cell>
          <cell r="B89">
            <v>2473418</v>
          </cell>
          <cell r="C89">
            <v>344045</v>
          </cell>
          <cell r="D89" t="str">
            <v xml:space="preserve"> 7228 PERUANO CANADIENSE</v>
          </cell>
          <cell r="E89" t="str">
            <v>PREFABRICADO</v>
          </cell>
          <cell r="F89">
            <v>7</v>
          </cell>
          <cell r="G89">
            <v>13</v>
          </cell>
          <cell r="J89">
            <v>45230</v>
          </cell>
        </row>
        <row r="90">
          <cell r="A90">
            <v>88</v>
          </cell>
          <cell r="B90">
            <v>2473418</v>
          </cell>
          <cell r="C90">
            <v>344045</v>
          </cell>
          <cell r="D90" t="str">
            <v xml:space="preserve"> 7228 PERUANO CANADIENSE</v>
          </cell>
          <cell r="E90" t="str">
            <v>PREFABRICADO</v>
          </cell>
          <cell r="F90">
            <v>13</v>
          </cell>
          <cell r="G90">
            <v>0</v>
          </cell>
          <cell r="J90">
            <v>45230</v>
          </cell>
        </row>
        <row r="91">
          <cell r="A91">
            <v>89</v>
          </cell>
          <cell r="B91">
            <v>2456100</v>
          </cell>
          <cell r="C91">
            <v>296681</v>
          </cell>
          <cell r="D91" t="str">
            <v xml:space="preserve"> 2025</v>
          </cell>
          <cell r="E91" t="str">
            <v>PREFABRICADO</v>
          </cell>
          <cell r="F91">
            <v>24</v>
          </cell>
          <cell r="G91">
            <v>0</v>
          </cell>
          <cell r="J91">
            <v>45209</v>
          </cell>
        </row>
        <row r="92">
          <cell r="A92">
            <v>90</v>
          </cell>
          <cell r="B92">
            <v>2489076</v>
          </cell>
          <cell r="C92">
            <v>502884</v>
          </cell>
          <cell r="D92" t="str">
            <v xml:space="preserve"> FERNANDO CARBAJAL</v>
          </cell>
          <cell r="E92" t="str">
            <v>PREFABRICADO</v>
          </cell>
          <cell r="F92">
            <v>13</v>
          </cell>
          <cell r="G92">
            <v>8</v>
          </cell>
          <cell r="J92">
            <v>45229</v>
          </cell>
        </row>
        <row r="93">
          <cell r="A93">
            <v>91</v>
          </cell>
          <cell r="B93">
            <v>2482810</v>
          </cell>
          <cell r="C93" t="str">
            <v>238219
238318</v>
          </cell>
          <cell r="D93" t="str">
            <v xml:space="preserve"> 30571 SEIS DE AGOSTO /  SEIS DE AGOSTO</v>
          </cell>
          <cell r="E93" t="str">
            <v>PREFABRICADO</v>
          </cell>
          <cell r="F93">
            <v>25</v>
          </cell>
          <cell r="G93">
            <v>3</v>
          </cell>
          <cell r="J93">
            <v>45258</v>
          </cell>
        </row>
        <row r="94">
          <cell r="A94">
            <v>92</v>
          </cell>
          <cell r="B94">
            <v>2489023</v>
          </cell>
          <cell r="C94" t="str">
            <v>248398
248402
248548</v>
          </cell>
          <cell r="D94" t="str">
            <v xml:space="preserve"> 619 /  30001-3 19 DE ABRIL /  19 DE ABRIL</v>
          </cell>
          <cell r="E94" t="str">
            <v>PREFABRICADO</v>
          </cell>
          <cell r="F94">
            <v>27</v>
          </cell>
          <cell r="G94">
            <v>0</v>
          </cell>
          <cell r="J94">
            <v>45254</v>
          </cell>
        </row>
        <row r="95">
          <cell r="A95">
            <v>93</v>
          </cell>
          <cell r="B95">
            <v>2488994</v>
          </cell>
          <cell r="C95" t="str">
            <v>399165
227579</v>
          </cell>
          <cell r="D95" t="str">
            <v xml:space="preserve"> 9 DE JULIO</v>
          </cell>
          <cell r="E95" t="str">
            <v>PREFABRICADO</v>
          </cell>
          <cell r="F95">
            <v>6</v>
          </cell>
          <cell r="G95">
            <v>25</v>
          </cell>
          <cell r="J95">
            <v>45160</v>
          </cell>
        </row>
        <row r="96">
          <cell r="A96">
            <v>94</v>
          </cell>
          <cell r="B96">
            <v>2483701</v>
          </cell>
          <cell r="C96">
            <v>349496</v>
          </cell>
          <cell r="D96" t="str">
            <v xml:space="preserve"> 21578</v>
          </cell>
          <cell r="E96" t="str">
            <v>PREFABRICADO</v>
          </cell>
          <cell r="F96">
            <v>10</v>
          </cell>
          <cell r="G96">
            <v>0</v>
          </cell>
          <cell r="J96">
            <v>45243</v>
          </cell>
        </row>
        <row r="97">
          <cell r="A97">
            <v>95</v>
          </cell>
          <cell r="B97">
            <v>2483701</v>
          </cell>
          <cell r="C97">
            <v>349496</v>
          </cell>
          <cell r="D97" t="str">
            <v xml:space="preserve"> 21578</v>
          </cell>
          <cell r="E97" t="str">
            <v>PREFABRICADO</v>
          </cell>
          <cell r="F97">
            <v>0</v>
          </cell>
          <cell r="G97">
            <v>0</v>
          </cell>
          <cell r="J97">
            <v>45243</v>
          </cell>
        </row>
        <row r="98">
          <cell r="A98">
            <v>96</v>
          </cell>
          <cell r="B98">
            <v>2483179</v>
          </cell>
          <cell r="C98">
            <v>281745</v>
          </cell>
          <cell r="D98" t="str">
            <v xml:space="preserve"> SANTA LUCIA</v>
          </cell>
          <cell r="E98" t="str">
            <v>PREFABRICADO</v>
          </cell>
          <cell r="F98">
            <v>28</v>
          </cell>
          <cell r="G98">
            <v>0</v>
          </cell>
          <cell r="J98">
            <v>45143</v>
          </cell>
        </row>
        <row r="99">
          <cell r="A99">
            <v>97</v>
          </cell>
          <cell r="B99">
            <v>2488856</v>
          </cell>
          <cell r="C99">
            <v>256133</v>
          </cell>
          <cell r="D99" t="str">
            <v xml:space="preserve"> SANTO DOMINGO DE GUZMAN</v>
          </cell>
          <cell r="E99" t="str">
            <v>PREFABRICADO</v>
          </cell>
          <cell r="F99">
            <v>18</v>
          </cell>
          <cell r="G99">
            <v>0</v>
          </cell>
          <cell r="J99">
            <v>45181</v>
          </cell>
        </row>
        <row r="100">
          <cell r="A100">
            <v>98</v>
          </cell>
          <cell r="B100">
            <v>2482024</v>
          </cell>
          <cell r="C100">
            <v>131789</v>
          </cell>
          <cell r="D100" t="str">
            <v xml:space="preserve"> SAN MARCOS  </v>
          </cell>
          <cell r="E100" t="str">
            <v>PREFABRICADO</v>
          </cell>
          <cell r="F100">
            <v>17</v>
          </cell>
          <cell r="G100">
            <v>2</v>
          </cell>
          <cell r="J100">
            <v>45177</v>
          </cell>
        </row>
        <row r="101">
          <cell r="A101">
            <v>99</v>
          </cell>
          <cell r="B101">
            <v>2485232</v>
          </cell>
          <cell r="C101">
            <v>150645</v>
          </cell>
          <cell r="D101" t="str">
            <v>AGUSTÍN GAMARRA</v>
          </cell>
          <cell r="E101" t="str">
            <v>PREFABRICADO</v>
          </cell>
          <cell r="F101">
            <v>9</v>
          </cell>
          <cell r="G101">
            <v>4</v>
          </cell>
          <cell r="J101">
            <v>45352</v>
          </cell>
        </row>
        <row r="102">
          <cell r="A102">
            <v>100</v>
          </cell>
          <cell r="B102">
            <v>2485232</v>
          </cell>
          <cell r="C102">
            <v>150645</v>
          </cell>
          <cell r="D102" t="str">
            <v>AGUSTÍN GAMARRA</v>
          </cell>
          <cell r="E102" t="str">
            <v>PREFABRICADO</v>
          </cell>
          <cell r="F102">
            <v>1</v>
          </cell>
          <cell r="G102">
            <v>0</v>
          </cell>
          <cell r="J102">
            <v>45352</v>
          </cell>
        </row>
        <row r="103">
          <cell r="A103">
            <v>101</v>
          </cell>
          <cell r="B103">
            <v>2488993</v>
          </cell>
          <cell r="C103">
            <v>451040</v>
          </cell>
          <cell r="D103" t="str">
            <v xml:space="preserve"> TELÉSFORO CATACORA</v>
          </cell>
          <cell r="E103" t="str">
            <v>PREFABRICADO</v>
          </cell>
          <cell r="F103">
            <v>8</v>
          </cell>
          <cell r="G103">
            <v>2</v>
          </cell>
          <cell r="J103">
            <v>45341</v>
          </cell>
        </row>
        <row r="104">
          <cell r="A104">
            <v>102</v>
          </cell>
          <cell r="B104">
            <v>2489002</v>
          </cell>
          <cell r="C104">
            <v>467970</v>
          </cell>
          <cell r="D104" t="str">
            <v xml:space="preserve"> JOSÉ GÁLVEZ /  301 JOSÉ GÁLVEZ</v>
          </cell>
          <cell r="E104" t="str">
            <v>PREFABRICADO</v>
          </cell>
          <cell r="F104">
            <v>5</v>
          </cell>
          <cell r="G104">
            <v>7</v>
          </cell>
          <cell r="J104">
            <v>45344</v>
          </cell>
        </row>
        <row r="105">
          <cell r="A105">
            <v>103</v>
          </cell>
          <cell r="B105">
            <v>2489002</v>
          </cell>
          <cell r="C105">
            <v>467970</v>
          </cell>
          <cell r="D105" t="str">
            <v xml:space="preserve"> JOSÉ GÁLVEZ /  301 JOSÉ GÁLVEZ</v>
          </cell>
          <cell r="E105" t="str">
            <v>PREFABRICADO</v>
          </cell>
          <cell r="F105">
            <v>7</v>
          </cell>
          <cell r="G105">
            <v>1</v>
          </cell>
          <cell r="J105">
            <v>45344</v>
          </cell>
        </row>
        <row r="106">
          <cell r="A106">
            <v>104</v>
          </cell>
          <cell r="B106">
            <v>2489010</v>
          </cell>
          <cell r="C106" t="str">
            <v>451337 / 675931</v>
          </cell>
          <cell r="D106" t="str">
            <v xml:space="preserve"> TAWANTINSUYO /  769</v>
          </cell>
          <cell r="E106" t="str">
            <v>PREFABRICADO</v>
          </cell>
          <cell r="F106">
            <v>15</v>
          </cell>
          <cell r="G106">
            <v>3</v>
          </cell>
          <cell r="J106">
            <v>45343</v>
          </cell>
        </row>
        <row r="107">
          <cell r="A107">
            <v>105</v>
          </cell>
          <cell r="B107">
            <v>2489010</v>
          </cell>
          <cell r="C107" t="str">
            <v>451337 / 675931</v>
          </cell>
          <cell r="D107" t="str">
            <v xml:space="preserve"> TAWANTINSUYO /  769</v>
          </cell>
          <cell r="E107" t="str">
            <v>PREFABRICADO</v>
          </cell>
          <cell r="F107">
            <v>5</v>
          </cell>
          <cell r="G107">
            <v>1</v>
          </cell>
          <cell r="J107">
            <v>45343</v>
          </cell>
        </row>
        <row r="108">
          <cell r="A108">
            <v>106</v>
          </cell>
          <cell r="B108">
            <v>2480537</v>
          </cell>
          <cell r="C108">
            <v>448972</v>
          </cell>
          <cell r="D108" t="str">
            <v xml:space="preserve"> 73002 GLORIOSO 821</v>
          </cell>
          <cell r="E108" t="str">
            <v>PREFABRICADO</v>
          </cell>
          <cell r="F108">
            <v>6</v>
          </cell>
          <cell r="G108">
            <v>8</v>
          </cell>
          <cell r="J108">
            <v>45342</v>
          </cell>
        </row>
        <row r="109">
          <cell r="A109">
            <v>107</v>
          </cell>
          <cell r="B109">
            <v>2480537</v>
          </cell>
          <cell r="C109">
            <v>448972</v>
          </cell>
          <cell r="D109" t="str">
            <v xml:space="preserve"> 73002 GLORIOSO 821</v>
          </cell>
          <cell r="E109" t="str">
            <v>PREFABRICADO</v>
          </cell>
          <cell r="F109">
            <v>0</v>
          </cell>
          <cell r="G109">
            <v>0</v>
          </cell>
          <cell r="J109">
            <v>45342</v>
          </cell>
        </row>
        <row r="110">
          <cell r="A110">
            <v>108</v>
          </cell>
          <cell r="B110">
            <v>2480603</v>
          </cell>
          <cell r="C110">
            <v>445723</v>
          </cell>
          <cell r="D110" t="str">
            <v xml:space="preserve"> PEDRO VILCAPAZA</v>
          </cell>
          <cell r="E110" t="str">
            <v>PREFABRICADO</v>
          </cell>
          <cell r="F110">
            <v>15</v>
          </cell>
          <cell r="G110">
            <v>7</v>
          </cell>
          <cell r="J110">
            <v>45350</v>
          </cell>
        </row>
        <row r="111">
          <cell r="A111">
            <v>109</v>
          </cell>
          <cell r="B111">
            <v>2480681</v>
          </cell>
          <cell r="C111">
            <v>455444</v>
          </cell>
          <cell r="D111" t="str">
            <v xml:space="preserve"> VARONES</v>
          </cell>
          <cell r="E111" t="str">
            <v>PREFABRICADO</v>
          </cell>
          <cell r="F111">
            <v>5</v>
          </cell>
          <cell r="G111">
            <v>16</v>
          </cell>
          <cell r="J111">
            <v>45345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6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C31" sqref="C31"/>
    </sheetView>
  </sheetViews>
  <sheetFormatPr baseColWidth="10" defaultColWidth="9.140625" defaultRowHeight="12.75" x14ac:dyDescent="0.25"/>
  <cols>
    <col min="1" max="1" width="7.42578125" style="1" bestFit="1" customWidth="1"/>
    <col min="2" max="2" width="10.7109375" style="1" customWidth="1"/>
    <col min="3" max="3" width="19.28515625" style="1" customWidth="1"/>
    <col min="4" max="4" width="36.85546875" style="1" customWidth="1"/>
    <col min="5" max="5" width="15.7109375" style="1" customWidth="1"/>
    <col min="6" max="6" width="20.7109375" style="1" customWidth="1"/>
    <col min="7" max="7" width="15.7109375" style="9" customWidth="1"/>
    <col min="8" max="9" width="17.140625" style="4" customWidth="1"/>
    <col min="10" max="13" width="17.42578125" style="11" customWidth="1"/>
    <col min="14" max="14" width="22.42578125" style="11" customWidth="1"/>
    <col min="15" max="15" width="17.42578125" style="11" customWidth="1"/>
    <col min="16" max="16" width="47" style="1" customWidth="1"/>
    <col min="17" max="17" width="13.5703125" style="1" customWidth="1"/>
    <col min="18" max="16384" width="9.140625" style="1"/>
  </cols>
  <sheetData>
    <row r="1" spans="1:17" ht="30" customHeight="1" thickBot="1" x14ac:dyDescent="0.3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7"/>
    </row>
    <row r="3" spans="1:17" ht="82.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5" t="s">
        <v>16</v>
      </c>
      <c r="Q3" s="1" t="s">
        <v>17</v>
      </c>
    </row>
    <row r="4" spans="1:17" x14ac:dyDescent="0.25">
      <c r="A4" s="2">
        <v>1</v>
      </c>
      <c r="B4" s="2">
        <v>2475493</v>
      </c>
      <c r="C4" s="2">
        <v>304860</v>
      </c>
      <c r="D4" s="8" t="s">
        <v>18</v>
      </c>
      <c r="E4" s="8" t="s">
        <v>19</v>
      </c>
      <c r="F4" s="2" t="s">
        <v>20</v>
      </c>
      <c r="G4" s="10">
        <v>53192166.609999985</v>
      </c>
      <c r="H4" s="14">
        <v>1</v>
      </c>
      <c r="I4" s="35">
        <v>1</v>
      </c>
      <c r="J4" s="12">
        <v>45042</v>
      </c>
      <c r="K4" s="12">
        <v>45336</v>
      </c>
      <c r="L4" s="12">
        <v>45336</v>
      </c>
      <c r="M4" s="12">
        <v>45336</v>
      </c>
      <c r="N4" s="12" t="s">
        <v>21</v>
      </c>
      <c r="O4" s="12" t="s">
        <v>22</v>
      </c>
      <c r="P4" s="3"/>
      <c r="Q4" s="1" t="s">
        <v>23</v>
      </c>
    </row>
    <row r="5" spans="1:17" x14ac:dyDescent="0.25">
      <c r="A5" s="2">
        <v>2</v>
      </c>
      <c r="B5" s="2">
        <v>2465303</v>
      </c>
      <c r="C5" s="2">
        <v>288054</v>
      </c>
      <c r="D5" s="2" t="s">
        <v>24</v>
      </c>
      <c r="E5" s="2" t="s">
        <v>19</v>
      </c>
      <c r="F5" s="2" t="s">
        <v>20</v>
      </c>
      <c r="G5" s="10">
        <v>57815450.640000001</v>
      </c>
      <c r="H5" s="14">
        <v>1</v>
      </c>
      <c r="I5" s="35">
        <v>1</v>
      </c>
      <c r="J5" s="12">
        <v>45042</v>
      </c>
      <c r="K5" s="12">
        <v>45349</v>
      </c>
      <c r="L5" s="12">
        <v>45349</v>
      </c>
      <c r="M5" s="12">
        <v>45349</v>
      </c>
      <c r="N5" s="12" t="s">
        <v>21</v>
      </c>
      <c r="O5" s="12" t="s">
        <v>22</v>
      </c>
      <c r="P5" s="3"/>
      <c r="Q5" s="1" t="s">
        <v>23</v>
      </c>
    </row>
    <row r="6" spans="1:17" x14ac:dyDescent="0.25">
      <c r="A6" s="2">
        <v>3</v>
      </c>
      <c r="B6" s="2">
        <v>2455491</v>
      </c>
      <c r="C6" s="2">
        <v>311224</v>
      </c>
      <c r="D6" s="2" t="s">
        <v>25</v>
      </c>
      <c r="E6" s="2" t="s">
        <v>19</v>
      </c>
      <c r="F6" s="2" t="s">
        <v>20</v>
      </c>
      <c r="G6" s="10">
        <v>44510527.269999996</v>
      </c>
      <c r="H6" s="14">
        <v>1</v>
      </c>
      <c r="I6" s="35">
        <v>1</v>
      </c>
      <c r="J6" s="12">
        <v>45042</v>
      </c>
      <c r="K6" s="12">
        <v>45350</v>
      </c>
      <c r="L6" s="12">
        <v>45350</v>
      </c>
      <c r="M6" s="12">
        <v>45350</v>
      </c>
      <c r="N6" s="12" t="s">
        <v>21</v>
      </c>
      <c r="O6" s="12" t="s">
        <v>22</v>
      </c>
      <c r="P6" s="3"/>
      <c r="Q6" s="1" t="s">
        <v>23</v>
      </c>
    </row>
    <row r="7" spans="1:17" x14ac:dyDescent="0.25">
      <c r="A7" s="2">
        <v>4</v>
      </c>
      <c r="B7" s="2">
        <v>2488285</v>
      </c>
      <c r="C7" s="2">
        <v>301913</v>
      </c>
      <c r="D7" s="2" t="s">
        <v>26</v>
      </c>
      <c r="E7" s="2" t="s">
        <v>19</v>
      </c>
      <c r="F7" s="2" t="s">
        <v>20</v>
      </c>
      <c r="G7" s="10">
        <v>62017635.559999995</v>
      </c>
      <c r="H7" s="14">
        <v>1</v>
      </c>
      <c r="I7" s="35">
        <v>1</v>
      </c>
      <c r="J7" s="12">
        <v>45042</v>
      </c>
      <c r="K7" s="12">
        <v>45355</v>
      </c>
      <c r="L7" s="12">
        <v>45355</v>
      </c>
      <c r="M7" s="12">
        <v>45355</v>
      </c>
      <c r="N7" s="12" t="s">
        <v>21</v>
      </c>
      <c r="O7" s="12" t="s">
        <v>22</v>
      </c>
      <c r="P7" s="3"/>
      <c r="Q7" s="1" t="s">
        <v>23</v>
      </c>
    </row>
    <row r="8" spans="1:17" x14ac:dyDescent="0.25">
      <c r="A8" s="2">
        <v>5</v>
      </c>
      <c r="B8" s="2">
        <v>2466948</v>
      </c>
      <c r="C8" s="2">
        <v>311040</v>
      </c>
      <c r="D8" s="2" t="s">
        <v>27</v>
      </c>
      <c r="E8" s="2" t="s">
        <v>19</v>
      </c>
      <c r="F8" s="2" t="s">
        <v>28</v>
      </c>
      <c r="G8" s="10">
        <v>47273198.779999994</v>
      </c>
      <c r="H8" s="14">
        <v>1</v>
      </c>
      <c r="I8" s="35">
        <v>0.96677863714472356</v>
      </c>
      <c r="J8" s="12">
        <v>45383</v>
      </c>
      <c r="K8" s="12">
        <v>45695</v>
      </c>
      <c r="L8" s="12">
        <v>45699</v>
      </c>
      <c r="M8" s="12">
        <v>45699</v>
      </c>
      <c r="N8" s="12" t="s">
        <v>21</v>
      </c>
      <c r="O8" s="12" t="s">
        <v>22</v>
      </c>
      <c r="P8" s="3" t="s">
        <v>29</v>
      </c>
      <c r="Q8" s="1" t="s">
        <v>30</v>
      </c>
    </row>
    <row r="9" spans="1:17" x14ac:dyDescent="0.25">
      <c r="A9" s="2">
        <v>6</v>
      </c>
      <c r="B9" s="2">
        <v>2475546</v>
      </c>
      <c r="C9" s="2">
        <v>301437</v>
      </c>
      <c r="D9" s="2" t="s">
        <v>31</v>
      </c>
      <c r="E9" s="2" t="s">
        <v>19</v>
      </c>
      <c r="F9" s="2" t="s">
        <v>28</v>
      </c>
      <c r="G9" s="10">
        <v>47917950.82</v>
      </c>
      <c r="H9" s="14">
        <v>1</v>
      </c>
      <c r="I9" s="35">
        <v>0.96053808984647238</v>
      </c>
      <c r="J9" s="12">
        <v>45383</v>
      </c>
      <c r="K9" s="12">
        <v>45698</v>
      </c>
      <c r="L9" s="12">
        <v>45702</v>
      </c>
      <c r="M9" s="12">
        <v>45702</v>
      </c>
      <c r="N9" s="12" t="s">
        <v>21</v>
      </c>
      <c r="O9" s="12" t="s">
        <v>22</v>
      </c>
      <c r="P9" s="3" t="s">
        <v>29</v>
      </c>
      <c r="Q9" s="1" t="s">
        <v>30</v>
      </c>
    </row>
    <row r="10" spans="1:17" x14ac:dyDescent="0.25">
      <c r="A10" s="2">
        <v>7</v>
      </c>
      <c r="B10" s="2">
        <v>2485504</v>
      </c>
      <c r="C10" s="2">
        <v>313732</v>
      </c>
      <c r="D10" s="2" t="s">
        <v>32</v>
      </c>
      <c r="E10" s="2" t="s">
        <v>19</v>
      </c>
      <c r="F10" s="2" t="s">
        <v>28</v>
      </c>
      <c r="G10" s="10">
        <v>67375694.319999993</v>
      </c>
      <c r="H10" s="14">
        <v>1</v>
      </c>
      <c r="I10" s="35">
        <v>0.99133100451290501</v>
      </c>
      <c r="J10" s="12">
        <v>45383</v>
      </c>
      <c r="K10" s="12">
        <v>45716</v>
      </c>
      <c r="L10" s="12">
        <v>45719</v>
      </c>
      <c r="M10" s="12">
        <v>45719</v>
      </c>
      <c r="N10" s="12" t="s">
        <v>21</v>
      </c>
      <c r="O10" s="12" t="s">
        <v>22</v>
      </c>
      <c r="P10" s="3" t="s">
        <v>29</v>
      </c>
      <c r="Q10" s="1" t="s">
        <v>30</v>
      </c>
    </row>
    <row r="11" spans="1:17" x14ac:dyDescent="0.25">
      <c r="A11" s="2">
        <v>8</v>
      </c>
      <c r="B11" s="2">
        <v>2471211</v>
      </c>
      <c r="C11" s="2">
        <v>296676</v>
      </c>
      <c r="D11" s="2">
        <v>2051</v>
      </c>
      <c r="E11" s="2" t="s">
        <v>19</v>
      </c>
      <c r="F11" s="2" t="s">
        <v>28</v>
      </c>
      <c r="G11" s="10">
        <v>42550996.129999995</v>
      </c>
      <c r="H11" s="14">
        <v>1</v>
      </c>
      <c r="I11" s="35">
        <v>0.9885943055594455</v>
      </c>
      <c r="J11" s="12">
        <v>45383</v>
      </c>
      <c r="K11" s="12">
        <v>45726</v>
      </c>
      <c r="L11" s="12">
        <v>45727</v>
      </c>
      <c r="M11" s="12">
        <v>45727</v>
      </c>
      <c r="N11" s="12" t="s">
        <v>21</v>
      </c>
      <c r="O11" s="12" t="s">
        <v>22</v>
      </c>
      <c r="P11" s="3" t="s">
        <v>29</v>
      </c>
      <c r="Q11" s="1" t="s">
        <v>30</v>
      </c>
    </row>
    <row r="12" spans="1:17" x14ac:dyDescent="0.25">
      <c r="A12" s="2">
        <v>9</v>
      </c>
      <c r="B12" s="2">
        <v>2475363</v>
      </c>
      <c r="C12" s="2">
        <v>305925</v>
      </c>
      <c r="D12" s="2" t="s">
        <v>33</v>
      </c>
      <c r="E12" s="2" t="s">
        <v>19</v>
      </c>
      <c r="F12" s="2" t="s">
        <v>28</v>
      </c>
      <c r="G12" s="10">
        <v>89836873.289999992</v>
      </c>
      <c r="H12" s="14">
        <v>1</v>
      </c>
      <c r="I12" s="35">
        <v>0.972845438396713</v>
      </c>
      <c r="J12" s="12">
        <v>45383</v>
      </c>
      <c r="K12" s="12">
        <v>45726</v>
      </c>
      <c r="L12" s="12">
        <v>45728</v>
      </c>
      <c r="M12" s="12">
        <v>45728</v>
      </c>
      <c r="N12" s="12" t="s">
        <v>21</v>
      </c>
      <c r="O12" s="12" t="s">
        <v>22</v>
      </c>
      <c r="P12" s="3" t="s">
        <v>29</v>
      </c>
      <c r="Q12" s="1" t="s">
        <v>30</v>
      </c>
    </row>
    <row r="13" spans="1:17" x14ac:dyDescent="0.25">
      <c r="A13" s="2">
        <v>10</v>
      </c>
      <c r="B13" s="2">
        <v>2433311</v>
      </c>
      <c r="C13" s="2">
        <v>296803</v>
      </c>
      <c r="D13" s="2" t="s">
        <v>34</v>
      </c>
      <c r="E13" s="2" t="s">
        <v>19</v>
      </c>
      <c r="F13" s="2" t="s">
        <v>28</v>
      </c>
      <c r="G13" s="10">
        <v>46684984.200000003</v>
      </c>
      <c r="H13" s="14">
        <v>1</v>
      </c>
      <c r="I13" s="35">
        <v>0.96889136507408302</v>
      </c>
      <c r="J13" s="12">
        <v>45383</v>
      </c>
      <c r="K13" s="12">
        <v>45752</v>
      </c>
      <c r="L13" s="12">
        <v>45730</v>
      </c>
      <c r="M13" s="12">
        <v>45730</v>
      </c>
      <c r="N13" s="12" t="s">
        <v>21</v>
      </c>
      <c r="O13" s="12" t="s">
        <v>22</v>
      </c>
      <c r="P13" s="3" t="s">
        <v>29</v>
      </c>
      <c r="Q13" s="1" t="s">
        <v>30</v>
      </c>
    </row>
    <row r="14" spans="1:17" x14ac:dyDescent="0.25">
      <c r="A14" s="2">
        <v>11</v>
      </c>
      <c r="B14" s="2">
        <v>2457231</v>
      </c>
      <c r="C14" s="2">
        <v>301753</v>
      </c>
      <c r="D14" s="2" t="s">
        <v>35</v>
      </c>
      <c r="E14" s="2" t="s">
        <v>19</v>
      </c>
      <c r="F14" s="2" t="s">
        <v>28</v>
      </c>
      <c r="G14" s="10">
        <v>67754928.419999987</v>
      </c>
      <c r="H14" s="14">
        <v>1</v>
      </c>
      <c r="I14" s="35">
        <v>0.98448395689412815</v>
      </c>
      <c r="J14" s="12">
        <v>45383</v>
      </c>
      <c r="K14" s="12">
        <v>45740</v>
      </c>
      <c r="L14" s="12">
        <v>45730</v>
      </c>
      <c r="M14" s="12">
        <v>45730</v>
      </c>
      <c r="N14" s="12" t="s">
        <v>21</v>
      </c>
      <c r="O14" s="12" t="s">
        <v>22</v>
      </c>
      <c r="P14" s="3" t="s">
        <v>29</v>
      </c>
      <c r="Q14" s="1" t="s">
        <v>30</v>
      </c>
    </row>
    <row r="15" spans="1:17" x14ac:dyDescent="0.25">
      <c r="A15" s="2">
        <v>12</v>
      </c>
      <c r="B15" s="2">
        <v>2468424</v>
      </c>
      <c r="C15" s="2">
        <v>305911</v>
      </c>
      <c r="D15" s="2" t="s">
        <v>36</v>
      </c>
      <c r="E15" s="2" t="s">
        <v>19</v>
      </c>
      <c r="F15" s="2" t="s">
        <v>28</v>
      </c>
      <c r="G15" s="10">
        <v>94349062.659999982</v>
      </c>
      <c r="H15" s="14">
        <v>1</v>
      </c>
      <c r="I15" s="35">
        <v>0.98428168645040803</v>
      </c>
      <c r="J15" s="12">
        <v>45383</v>
      </c>
      <c r="K15" s="12">
        <v>45740</v>
      </c>
      <c r="L15" s="12">
        <v>45730</v>
      </c>
      <c r="M15" s="12">
        <v>45730</v>
      </c>
      <c r="N15" s="12" t="s">
        <v>21</v>
      </c>
      <c r="O15" s="12" t="s">
        <v>22</v>
      </c>
      <c r="P15" s="3" t="s">
        <v>29</v>
      </c>
      <c r="Q15" s="1" t="s">
        <v>30</v>
      </c>
    </row>
    <row r="16" spans="1:17" x14ac:dyDescent="0.25">
      <c r="A16" s="2">
        <v>13</v>
      </c>
      <c r="B16" s="2">
        <v>2475360</v>
      </c>
      <c r="C16" s="2">
        <v>319140</v>
      </c>
      <c r="D16" s="2" t="s">
        <v>37</v>
      </c>
      <c r="E16" s="2" t="s">
        <v>19</v>
      </c>
      <c r="F16" s="2" t="s">
        <v>28</v>
      </c>
      <c r="G16" s="10">
        <v>61374292.100000001</v>
      </c>
      <c r="H16" s="14">
        <v>1</v>
      </c>
      <c r="I16" s="35">
        <v>0.98382201853534701</v>
      </c>
      <c r="J16" s="12">
        <v>45383</v>
      </c>
      <c r="K16" s="12">
        <v>45740</v>
      </c>
      <c r="L16" s="12">
        <v>45730</v>
      </c>
      <c r="M16" s="12">
        <v>45730</v>
      </c>
      <c r="N16" s="12" t="s">
        <v>21</v>
      </c>
      <c r="O16" s="12" t="s">
        <v>22</v>
      </c>
      <c r="P16" s="3" t="s">
        <v>29</v>
      </c>
      <c r="Q16" s="1" t="s">
        <v>30</v>
      </c>
    </row>
    <row r="17" spans="1:17" x14ac:dyDescent="0.25">
      <c r="A17" s="2">
        <v>14</v>
      </c>
      <c r="B17" s="2">
        <v>2475458</v>
      </c>
      <c r="C17" s="2">
        <v>333103</v>
      </c>
      <c r="D17" s="2" t="s">
        <v>38</v>
      </c>
      <c r="E17" s="2" t="s">
        <v>19</v>
      </c>
      <c r="F17" s="2" t="s">
        <v>28</v>
      </c>
      <c r="G17" s="10">
        <v>56351945.639999993</v>
      </c>
      <c r="H17" s="14">
        <v>1</v>
      </c>
      <c r="I17" s="35">
        <v>0.98265881596630567</v>
      </c>
      <c r="J17" s="12">
        <v>45383</v>
      </c>
      <c r="K17" s="12">
        <v>45728</v>
      </c>
      <c r="L17" s="12">
        <v>45730</v>
      </c>
      <c r="M17" s="12">
        <v>45730</v>
      </c>
      <c r="N17" s="12" t="s">
        <v>21</v>
      </c>
      <c r="O17" s="12" t="s">
        <v>22</v>
      </c>
      <c r="P17" s="3" t="s">
        <v>29</v>
      </c>
      <c r="Q17" s="1" t="s">
        <v>30</v>
      </c>
    </row>
    <row r="18" spans="1:17" x14ac:dyDescent="0.25">
      <c r="A18" s="2">
        <v>15</v>
      </c>
      <c r="B18" s="2">
        <v>2489056</v>
      </c>
      <c r="C18" s="2">
        <v>142561</v>
      </c>
      <c r="D18" s="2" t="s">
        <v>39</v>
      </c>
      <c r="E18" s="2" t="s">
        <v>19</v>
      </c>
      <c r="F18" s="2" t="s">
        <v>28</v>
      </c>
      <c r="G18" s="10">
        <v>102792066.31</v>
      </c>
      <c r="H18" s="14">
        <v>1</v>
      </c>
      <c r="I18" s="35">
        <v>0.99495545328920409</v>
      </c>
      <c r="J18" s="12">
        <v>45383</v>
      </c>
      <c r="K18" s="12">
        <v>45759</v>
      </c>
      <c r="L18" s="12">
        <v>45761</v>
      </c>
      <c r="M18" s="12">
        <v>45761</v>
      </c>
      <c r="N18" s="12" t="s">
        <v>21</v>
      </c>
      <c r="O18" s="12" t="s">
        <v>22</v>
      </c>
      <c r="P18" s="3" t="s">
        <v>29</v>
      </c>
      <c r="Q18" s="1" t="s">
        <v>30</v>
      </c>
    </row>
    <row r="19" spans="1:17" x14ac:dyDescent="0.25">
      <c r="A19" s="2">
        <v>16</v>
      </c>
      <c r="B19" s="2">
        <v>2475484</v>
      </c>
      <c r="C19" s="2">
        <v>297077</v>
      </c>
      <c r="D19" s="2" t="s">
        <v>40</v>
      </c>
      <c r="E19" s="2" t="s">
        <v>19</v>
      </c>
      <c r="F19" s="2" t="s">
        <v>28</v>
      </c>
      <c r="G19" s="10">
        <v>85596649.75999999</v>
      </c>
      <c r="H19" s="14">
        <v>1</v>
      </c>
      <c r="I19" s="35">
        <v>0.98985037075124005</v>
      </c>
      <c r="J19" s="12">
        <v>45383</v>
      </c>
      <c r="K19" s="12">
        <v>45763</v>
      </c>
      <c r="L19" s="12">
        <v>45768</v>
      </c>
      <c r="M19" s="12">
        <v>45768</v>
      </c>
      <c r="N19" s="12" t="s">
        <v>21</v>
      </c>
      <c r="O19" s="12" t="s">
        <v>22</v>
      </c>
      <c r="P19" s="3" t="s">
        <v>29</v>
      </c>
      <c r="Q19" s="1" t="s">
        <v>30</v>
      </c>
    </row>
    <row r="20" spans="1:17" x14ac:dyDescent="0.25">
      <c r="A20" s="2">
        <v>17</v>
      </c>
      <c r="B20" s="2">
        <v>2481404</v>
      </c>
      <c r="C20" s="2">
        <v>305671</v>
      </c>
      <c r="D20" s="2" t="s">
        <v>41</v>
      </c>
      <c r="E20" s="2" t="s">
        <v>19</v>
      </c>
      <c r="F20" s="2" t="s">
        <v>28</v>
      </c>
      <c r="G20" s="10">
        <v>66669897.63000001</v>
      </c>
      <c r="H20" s="14">
        <v>1</v>
      </c>
      <c r="I20" s="35">
        <v>0.97702060533372359</v>
      </c>
      <c r="J20" s="12">
        <v>45383</v>
      </c>
      <c r="K20" s="12">
        <v>45766</v>
      </c>
      <c r="L20" s="12">
        <v>45768</v>
      </c>
      <c r="M20" s="12">
        <v>45768</v>
      </c>
      <c r="N20" s="12" t="s">
        <v>42</v>
      </c>
      <c r="O20" s="12" t="s">
        <v>22</v>
      </c>
      <c r="P20" s="3" t="s">
        <v>29</v>
      </c>
      <c r="Q20" s="1" t="s">
        <v>30</v>
      </c>
    </row>
    <row r="21" spans="1:17" x14ac:dyDescent="0.25">
      <c r="A21" s="2">
        <v>18</v>
      </c>
      <c r="B21" s="2">
        <v>2459062</v>
      </c>
      <c r="C21" s="2">
        <v>333099</v>
      </c>
      <c r="D21" s="2" t="s">
        <v>43</v>
      </c>
      <c r="E21" s="2" t="s">
        <v>19</v>
      </c>
      <c r="F21" s="2" t="s">
        <v>28</v>
      </c>
      <c r="G21" s="10">
        <v>68601979.979999989</v>
      </c>
      <c r="H21" s="14">
        <v>1</v>
      </c>
      <c r="I21" s="35">
        <v>0.98846798955029247</v>
      </c>
      <c r="J21" s="12">
        <v>45383</v>
      </c>
      <c r="K21" s="12">
        <v>45771</v>
      </c>
      <c r="L21" s="12">
        <v>45776</v>
      </c>
      <c r="M21" s="12">
        <v>45776</v>
      </c>
      <c r="N21" s="12" t="s">
        <v>21</v>
      </c>
      <c r="O21" s="12" t="s">
        <v>22</v>
      </c>
      <c r="P21" s="3" t="s">
        <v>29</v>
      </c>
      <c r="Q21" s="1" t="s">
        <v>30</v>
      </c>
    </row>
    <row r="22" spans="1:17" x14ac:dyDescent="0.25">
      <c r="A22" s="2">
        <v>19</v>
      </c>
      <c r="B22" s="2">
        <v>2475527</v>
      </c>
      <c r="C22" s="2">
        <v>325264</v>
      </c>
      <c r="D22" s="2" t="s">
        <v>44</v>
      </c>
      <c r="E22" s="2" t="s">
        <v>19</v>
      </c>
      <c r="F22" s="2" t="s">
        <v>28</v>
      </c>
      <c r="G22" s="10">
        <v>116897288.11000001</v>
      </c>
      <c r="H22" s="14">
        <v>1</v>
      </c>
      <c r="I22" s="35">
        <v>0.96816167064117176</v>
      </c>
      <c r="J22" s="12">
        <v>45638</v>
      </c>
      <c r="K22" s="12">
        <v>46090</v>
      </c>
      <c r="L22" s="12">
        <v>46093</v>
      </c>
      <c r="M22" s="12">
        <v>46093</v>
      </c>
      <c r="N22" s="12" t="s">
        <v>42</v>
      </c>
      <c r="O22" s="12" t="s">
        <v>45</v>
      </c>
      <c r="P22" s="3" t="s">
        <v>29</v>
      </c>
      <c r="Q22" s="1" t="s">
        <v>46</v>
      </c>
    </row>
    <row r="23" spans="1:17" x14ac:dyDescent="0.25">
      <c r="A23" s="2">
        <v>20</v>
      </c>
      <c r="B23" s="2">
        <v>2487501</v>
      </c>
      <c r="C23" s="2">
        <v>324523</v>
      </c>
      <c r="D23" s="2" t="s">
        <v>47</v>
      </c>
      <c r="E23" s="2" t="s">
        <v>19</v>
      </c>
      <c r="F23" s="2" t="s">
        <v>28</v>
      </c>
      <c r="G23" s="10">
        <v>59688717.699999996</v>
      </c>
      <c r="H23" s="14">
        <v>1</v>
      </c>
      <c r="I23" s="35">
        <v>0.96908805246456153</v>
      </c>
      <c r="J23" s="12">
        <v>45638</v>
      </c>
      <c r="K23" s="12">
        <v>46086</v>
      </c>
      <c r="L23" s="12">
        <v>46087</v>
      </c>
      <c r="M23" s="12">
        <v>46087</v>
      </c>
      <c r="N23" s="12" t="s">
        <v>42</v>
      </c>
      <c r="O23" s="12" t="s">
        <v>45</v>
      </c>
      <c r="P23" s="3" t="s">
        <v>29</v>
      </c>
      <c r="Q23" s="1" t="s">
        <v>46</v>
      </c>
    </row>
    <row r="24" spans="1:17" x14ac:dyDescent="0.25">
      <c r="A24" s="2">
        <v>21</v>
      </c>
      <c r="B24" s="2">
        <v>2475599</v>
      </c>
      <c r="C24" s="2">
        <v>325202</v>
      </c>
      <c r="D24" s="2" t="s">
        <v>48</v>
      </c>
      <c r="E24" s="2" t="s">
        <v>19</v>
      </c>
      <c r="F24" s="2" t="s">
        <v>28</v>
      </c>
      <c r="G24" s="10">
        <v>72193178.690000013</v>
      </c>
      <c r="H24" s="14">
        <v>1</v>
      </c>
      <c r="I24" s="35">
        <v>0.96068399783048786</v>
      </c>
      <c r="J24" s="12">
        <v>45638</v>
      </c>
      <c r="K24" s="12">
        <v>46090</v>
      </c>
      <c r="L24" s="12">
        <v>46094</v>
      </c>
      <c r="M24" s="12">
        <v>46094</v>
      </c>
      <c r="N24" s="12" t="s">
        <v>42</v>
      </c>
      <c r="O24" s="12" t="s">
        <v>45</v>
      </c>
      <c r="P24" s="3" t="s">
        <v>29</v>
      </c>
      <c r="Q24" s="1" t="s">
        <v>46</v>
      </c>
    </row>
    <row r="25" spans="1:17" x14ac:dyDescent="0.25">
      <c r="A25" s="2">
        <v>22</v>
      </c>
      <c r="B25" s="2">
        <v>2482573</v>
      </c>
      <c r="C25" s="2">
        <v>324962</v>
      </c>
      <c r="D25" s="2" t="s">
        <v>49</v>
      </c>
      <c r="E25" s="2" t="s">
        <v>50</v>
      </c>
      <c r="F25" s="2" t="s">
        <v>51</v>
      </c>
      <c r="G25" s="10">
        <v>99581818.680000007</v>
      </c>
      <c r="H25" s="14">
        <v>0.89170000000000005</v>
      </c>
      <c r="I25" s="35">
        <v>0.95794476556551256</v>
      </c>
      <c r="J25" s="12">
        <v>45638</v>
      </c>
      <c r="K25" s="12">
        <v>46127</v>
      </c>
      <c r="L25" s="12">
        <v>46142</v>
      </c>
      <c r="M25" s="12">
        <v>46142</v>
      </c>
      <c r="N25" s="12" t="s">
        <v>42</v>
      </c>
      <c r="O25" s="12" t="s">
        <v>45</v>
      </c>
      <c r="P25" s="3"/>
      <c r="Q25" s="1" t="s">
        <v>46</v>
      </c>
    </row>
    <row r="26" spans="1:17" x14ac:dyDescent="0.25">
      <c r="A26" s="2">
        <v>23</v>
      </c>
      <c r="B26" s="2">
        <v>2480865</v>
      </c>
      <c r="C26" s="2">
        <v>324882</v>
      </c>
      <c r="D26" s="2" t="s">
        <v>52</v>
      </c>
      <c r="E26" s="2" t="s">
        <v>50</v>
      </c>
      <c r="F26" s="2" t="s">
        <v>51</v>
      </c>
      <c r="G26" s="10">
        <v>89028959.370000005</v>
      </c>
      <c r="H26" s="14">
        <v>0.75519999999999998</v>
      </c>
      <c r="I26" s="35">
        <v>0.94106287844842407</v>
      </c>
      <c r="J26" s="12">
        <v>45638</v>
      </c>
      <c r="K26" s="12">
        <v>46188</v>
      </c>
      <c r="L26" s="12">
        <v>46203</v>
      </c>
      <c r="M26" s="12">
        <v>46203</v>
      </c>
      <c r="N26" s="12" t="s">
        <v>42</v>
      </c>
      <c r="O26" s="12" t="s">
        <v>45</v>
      </c>
      <c r="P26" s="3"/>
      <c r="Q26" s="1" t="s">
        <v>46</v>
      </c>
    </row>
    <row r="27" spans="1:17" x14ac:dyDescent="0.25">
      <c r="A27" s="2">
        <v>24</v>
      </c>
      <c r="B27" s="2">
        <v>2481555</v>
      </c>
      <c r="C27" s="2">
        <v>324721</v>
      </c>
      <c r="D27" s="2" t="s">
        <v>53</v>
      </c>
      <c r="E27" s="2" t="s">
        <v>50</v>
      </c>
      <c r="F27" s="2" t="s">
        <v>51</v>
      </c>
      <c r="G27" s="10">
        <v>95775696.390000015</v>
      </c>
      <c r="H27" s="14">
        <v>0.74199999999999999</v>
      </c>
      <c r="I27" s="35">
        <v>0.9179096463262999</v>
      </c>
      <c r="J27" s="12">
        <v>45638</v>
      </c>
      <c r="K27" s="12">
        <v>46172</v>
      </c>
      <c r="L27" s="12">
        <v>46188</v>
      </c>
      <c r="M27" s="12">
        <v>46188</v>
      </c>
      <c r="N27" s="12" t="s">
        <v>42</v>
      </c>
      <c r="O27" s="12" t="s">
        <v>45</v>
      </c>
      <c r="P27" s="3"/>
      <c r="Q27" s="1" t="s">
        <v>46</v>
      </c>
    </row>
    <row r="28" spans="1:17" x14ac:dyDescent="0.25">
      <c r="A28" s="2">
        <v>25</v>
      </c>
      <c r="B28" s="2">
        <v>2475512</v>
      </c>
      <c r="C28" s="2">
        <v>325301</v>
      </c>
      <c r="D28" s="2" t="s">
        <v>54</v>
      </c>
      <c r="E28" s="2" t="s">
        <v>50</v>
      </c>
      <c r="F28" s="2" t="s">
        <v>51</v>
      </c>
      <c r="G28" s="10">
        <v>60974154.630000003</v>
      </c>
      <c r="H28" s="14">
        <v>0.72170000000000001</v>
      </c>
      <c r="I28" s="35">
        <v>0.86174191817573365</v>
      </c>
      <c r="J28" s="12">
        <v>45638</v>
      </c>
      <c r="K28" s="12">
        <v>46188</v>
      </c>
      <c r="L28" s="12">
        <v>46203</v>
      </c>
      <c r="M28" s="12">
        <v>46203</v>
      </c>
      <c r="N28" s="12" t="s">
        <v>42</v>
      </c>
      <c r="O28" s="12" t="s">
        <v>45</v>
      </c>
      <c r="P28" s="3"/>
      <c r="Q28" s="1" t="s">
        <v>46</v>
      </c>
    </row>
    <row r="29" spans="1:17" x14ac:dyDescent="0.25">
      <c r="A29" s="2">
        <v>26</v>
      </c>
      <c r="B29" s="2">
        <v>2465785</v>
      </c>
      <c r="C29" s="2">
        <v>324702</v>
      </c>
      <c r="D29" s="2" t="s">
        <v>55</v>
      </c>
      <c r="E29" s="2" t="s">
        <v>50</v>
      </c>
      <c r="F29" s="2" t="s">
        <v>51</v>
      </c>
      <c r="G29" s="10">
        <v>88814536.590000018</v>
      </c>
      <c r="H29" s="14">
        <v>0.64180000000000004</v>
      </c>
      <c r="I29" s="35">
        <v>0.86566455629805772</v>
      </c>
      <c r="J29" s="12">
        <v>45638</v>
      </c>
      <c r="K29" s="12">
        <v>46203</v>
      </c>
      <c r="L29" s="12">
        <v>46203</v>
      </c>
      <c r="M29" s="12">
        <v>46203</v>
      </c>
      <c r="N29" s="12" t="s">
        <v>42</v>
      </c>
      <c r="O29" s="12" t="s">
        <v>45</v>
      </c>
      <c r="P29" s="3"/>
      <c r="Q29" s="1" t="s">
        <v>46</v>
      </c>
    </row>
    <row r="30" spans="1:17" x14ac:dyDescent="0.25">
      <c r="A30" s="2">
        <v>27</v>
      </c>
      <c r="B30" s="2">
        <v>2471292</v>
      </c>
      <c r="C30" s="2">
        <v>324844</v>
      </c>
      <c r="D30" s="2" t="s">
        <v>56</v>
      </c>
      <c r="E30" s="2" t="s">
        <v>50</v>
      </c>
      <c r="F30" s="2" t="s">
        <v>51</v>
      </c>
      <c r="G30" s="10">
        <v>82947822.289999992</v>
      </c>
      <c r="H30" s="14">
        <v>0.63139999999999996</v>
      </c>
      <c r="I30" s="35">
        <v>0.8691126160968683</v>
      </c>
      <c r="J30" s="12">
        <v>45638</v>
      </c>
      <c r="K30" s="12">
        <v>46203</v>
      </c>
      <c r="L30" s="12">
        <v>46203</v>
      </c>
      <c r="M30" s="12">
        <v>46203</v>
      </c>
      <c r="N30" s="12" t="s">
        <v>42</v>
      </c>
      <c r="O30" s="12" t="s">
        <v>45</v>
      </c>
      <c r="P30" s="3"/>
      <c r="Q30" s="1" t="s">
        <v>46</v>
      </c>
    </row>
    <row r="31" spans="1:17" x14ac:dyDescent="0.25">
      <c r="A31" s="2">
        <v>28</v>
      </c>
      <c r="B31" s="2">
        <v>2485449</v>
      </c>
      <c r="C31" s="2">
        <v>324900</v>
      </c>
      <c r="D31" s="2" t="s">
        <v>57</v>
      </c>
      <c r="E31" s="2" t="s">
        <v>50</v>
      </c>
      <c r="F31" s="2" t="s">
        <v>51</v>
      </c>
      <c r="G31" s="10">
        <v>79211364.799999997</v>
      </c>
      <c r="H31" s="14">
        <v>0.58260000000000001</v>
      </c>
      <c r="I31" s="35">
        <v>0.82996990452056951</v>
      </c>
      <c r="J31" s="12">
        <v>45638</v>
      </c>
      <c r="K31" s="12">
        <v>46203</v>
      </c>
      <c r="L31" s="12">
        <v>46203</v>
      </c>
      <c r="M31" s="12">
        <v>46203</v>
      </c>
      <c r="N31" s="12" t="s">
        <v>42</v>
      </c>
      <c r="O31" s="12" t="s">
        <v>45</v>
      </c>
      <c r="P31" s="3"/>
      <c r="Q31" s="1" t="s">
        <v>46</v>
      </c>
    </row>
    <row r="32" spans="1:17" x14ac:dyDescent="0.25">
      <c r="A32" s="2">
        <v>29</v>
      </c>
      <c r="B32" s="2">
        <v>2465018</v>
      </c>
      <c r="C32" s="2">
        <v>324622</v>
      </c>
      <c r="D32" s="2" t="s">
        <v>58</v>
      </c>
      <c r="E32" s="2" t="s">
        <v>50</v>
      </c>
      <c r="F32" s="2" t="s">
        <v>51</v>
      </c>
      <c r="G32" s="10">
        <v>79209459.370000005</v>
      </c>
      <c r="H32" s="14">
        <v>0.64190000000000003</v>
      </c>
      <c r="I32" s="35">
        <v>0.84613289754864784</v>
      </c>
      <c r="J32" s="12">
        <v>45638</v>
      </c>
      <c r="K32" s="12">
        <v>46203</v>
      </c>
      <c r="L32" s="12">
        <v>46203</v>
      </c>
      <c r="M32" s="12">
        <v>46203</v>
      </c>
      <c r="N32" s="12" t="s">
        <v>42</v>
      </c>
      <c r="O32" s="12" t="s">
        <v>45</v>
      </c>
      <c r="P32" s="3"/>
      <c r="Q32" s="1" t="s">
        <v>46</v>
      </c>
    </row>
    <row r="33" spans="1:17" x14ac:dyDescent="0.25">
      <c r="A33" s="2">
        <v>30</v>
      </c>
      <c r="B33" s="2">
        <v>2455343</v>
      </c>
      <c r="C33" s="2">
        <v>324580</v>
      </c>
      <c r="D33" s="2" t="s">
        <v>59</v>
      </c>
      <c r="E33" s="2" t="s">
        <v>19</v>
      </c>
      <c r="F33" s="2" t="s">
        <v>28</v>
      </c>
      <c r="G33" s="10">
        <v>55958782.61999999</v>
      </c>
      <c r="H33" s="14">
        <v>1</v>
      </c>
      <c r="I33" s="35">
        <v>0.97292557666437685</v>
      </c>
      <c r="J33" s="12">
        <v>45638</v>
      </c>
      <c r="K33" s="12">
        <v>45972</v>
      </c>
      <c r="L33" s="12">
        <v>45985</v>
      </c>
      <c r="M33" s="12">
        <v>45985</v>
      </c>
      <c r="N33" s="12" t="s">
        <v>42</v>
      </c>
      <c r="O33" s="12" t="s">
        <v>45</v>
      </c>
      <c r="P33" s="3" t="s">
        <v>29</v>
      </c>
      <c r="Q33" s="1" t="s">
        <v>46</v>
      </c>
    </row>
    <row r="34" spans="1:17" x14ac:dyDescent="0.25">
      <c r="A34" s="2">
        <v>31</v>
      </c>
      <c r="B34" s="2">
        <v>2481775</v>
      </c>
      <c r="C34" s="2">
        <v>324684</v>
      </c>
      <c r="D34" s="2" t="s">
        <v>60</v>
      </c>
      <c r="E34" s="2" t="s">
        <v>19</v>
      </c>
      <c r="F34" s="2" t="s">
        <v>28</v>
      </c>
      <c r="G34" s="10">
        <v>55612585.429999992</v>
      </c>
      <c r="H34" s="14">
        <v>1</v>
      </c>
      <c r="I34" s="35">
        <v>0.97899996680661439</v>
      </c>
      <c r="J34" s="12">
        <v>45638</v>
      </c>
      <c r="K34" s="12">
        <v>45972</v>
      </c>
      <c r="L34" s="12">
        <v>45989</v>
      </c>
      <c r="M34" s="12">
        <v>45989</v>
      </c>
      <c r="N34" s="12" t="s">
        <v>42</v>
      </c>
      <c r="O34" s="12" t="s">
        <v>45</v>
      </c>
      <c r="P34" s="3" t="s">
        <v>29</v>
      </c>
      <c r="Q34" s="1" t="s">
        <v>46</v>
      </c>
    </row>
    <row r="35" spans="1:17" x14ac:dyDescent="0.25">
      <c r="A35" s="2">
        <v>32</v>
      </c>
      <c r="B35" s="2">
        <v>2475306</v>
      </c>
      <c r="C35" s="2">
        <v>324504</v>
      </c>
      <c r="D35" s="2">
        <v>100</v>
      </c>
      <c r="E35" s="2" t="s">
        <v>19</v>
      </c>
      <c r="F35" s="2" t="s">
        <v>28</v>
      </c>
      <c r="G35" s="10">
        <v>50208182.289999992</v>
      </c>
      <c r="H35" s="14">
        <v>1</v>
      </c>
      <c r="I35" s="35">
        <v>0.94333326381810345</v>
      </c>
      <c r="J35" s="12">
        <v>45638</v>
      </c>
      <c r="K35" s="12">
        <v>46086</v>
      </c>
      <c r="L35" s="12">
        <v>46086</v>
      </c>
      <c r="M35" s="12">
        <v>46086</v>
      </c>
      <c r="N35" s="12" t="s">
        <v>42</v>
      </c>
      <c r="O35" s="12" t="s">
        <v>45</v>
      </c>
      <c r="P35" s="3" t="s">
        <v>29</v>
      </c>
      <c r="Q35" s="1" t="s">
        <v>46</v>
      </c>
    </row>
    <row r="36" spans="1:17" x14ac:dyDescent="0.25">
      <c r="A36" s="2">
        <v>33</v>
      </c>
      <c r="B36" s="2">
        <v>2461341</v>
      </c>
      <c r="C36" s="2">
        <v>292490</v>
      </c>
      <c r="D36" s="2" t="s">
        <v>61</v>
      </c>
      <c r="E36" s="2" t="s">
        <v>19</v>
      </c>
      <c r="F36" s="2" t="s">
        <v>62</v>
      </c>
      <c r="G36" s="10">
        <v>55842610.950000003</v>
      </c>
      <c r="H36" s="14">
        <v>1</v>
      </c>
      <c r="I36" s="35">
        <v>0.99008639727652248</v>
      </c>
      <c r="J36" s="12">
        <v>45247</v>
      </c>
      <c r="K36" s="12">
        <v>45496</v>
      </c>
      <c r="L36" s="12">
        <v>45498</v>
      </c>
      <c r="M36" s="12">
        <v>45498</v>
      </c>
      <c r="N36" s="12" t="s">
        <v>21</v>
      </c>
      <c r="O36" s="12" t="s">
        <v>22</v>
      </c>
      <c r="P36" s="3"/>
      <c r="Q36" s="1" t="s">
        <v>63</v>
      </c>
    </row>
    <row r="37" spans="1:17" x14ac:dyDescent="0.25">
      <c r="A37" s="2">
        <v>34</v>
      </c>
      <c r="B37" s="2">
        <v>2475674</v>
      </c>
      <c r="C37" s="2">
        <v>311083</v>
      </c>
      <c r="D37" s="2" t="s">
        <v>64</v>
      </c>
      <c r="E37" s="2" t="s">
        <v>19</v>
      </c>
      <c r="F37" s="2" t="s">
        <v>62</v>
      </c>
      <c r="G37" s="10">
        <v>77115310.929999992</v>
      </c>
      <c r="H37" s="14">
        <v>1</v>
      </c>
      <c r="I37" s="35">
        <v>0.99870263143864124</v>
      </c>
      <c r="J37" s="12">
        <v>45247</v>
      </c>
      <c r="K37" s="12">
        <v>45511</v>
      </c>
      <c r="L37" s="12">
        <v>45516</v>
      </c>
      <c r="M37" s="12">
        <v>45516</v>
      </c>
      <c r="N37" s="12" t="s">
        <v>21</v>
      </c>
      <c r="O37" s="12" t="s">
        <v>22</v>
      </c>
      <c r="P37" s="3"/>
      <c r="Q37" s="1" t="s">
        <v>63</v>
      </c>
    </row>
    <row r="38" spans="1:17" x14ac:dyDescent="0.25">
      <c r="A38" s="2">
        <v>35</v>
      </c>
      <c r="B38" s="2">
        <v>2485212</v>
      </c>
      <c r="C38" s="2">
        <v>292254</v>
      </c>
      <c r="D38" s="2" t="s">
        <v>65</v>
      </c>
      <c r="E38" s="2" t="s">
        <v>19</v>
      </c>
      <c r="F38" s="2" t="s">
        <v>62</v>
      </c>
      <c r="G38" s="10">
        <v>77202598.75</v>
      </c>
      <c r="H38" s="14">
        <v>1</v>
      </c>
      <c r="I38" s="35">
        <v>0.99807932786718534</v>
      </c>
      <c r="J38" s="12">
        <v>45247</v>
      </c>
      <c r="K38" s="12">
        <v>45517</v>
      </c>
      <c r="L38" s="12">
        <v>45520</v>
      </c>
      <c r="M38" s="12">
        <v>45520</v>
      </c>
      <c r="N38" s="12" t="s">
        <v>21</v>
      </c>
      <c r="O38" s="12" t="s">
        <v>22</v>
      </c>
      <c r="P38" s="3"/>
      <c r="Q38" s="1" t="s">
        <v>63</v>
      </c>
    </row>
    <row r="39" spans="1:17" x14ac:dyDescent="0.25">
      <c r="A39" s="2">
        <v>36</v>
      </c>
      <c r="B39" s="2">
        <v>2475706</v>
      </c>
      <c r="C39" s="2">
        <v>313591</v>
      </c>
      <c r="D39" s="2">
        <v>1267</v>
      </c>
      <c r="E39" s="2" t="s">
        <v>19</v>
      </c>
      <c r="F39" s="2" t="s">
        <v>62</v>
      </c>
      <c r="G39" s="10">
        <v>80251642.640000001</v>
      </c>
      <c r="H39" s="14">
        <v>1</v>
      </c>
      <c r="I39" s="35">
        <v>0.99450222879574923</v>
      </c>
      <c r="J39" s="12">
        <v>45247</v>
      </c>
      <c r="K39" s="12">
        <v>45524</v>
      </c>
      <c r="L39" s="12">
        <v>45530</v>
      </c>
      <c r="M39" s="12">
        <v>45530</v>
      </c>
      <c r="N39" s="12" t="s">
        <v>21</v>
      </c>
      <c r="O39" s="12" t="s">
        <v>22</v>
      </c>
      <c r="P39" s="3"/>
      <c r="Q39" s="1" t="s">
        <v>63</v>
      </c>
    </row>
    <row r="40" spans="1:17" x14ac:dyDescent="0.25">
      <c r="A40" s="2">
        <v>37</v>
      </c>
      <c r="B40" s="2">
        <v>2485617</v>
      </c>
      <c r="C40" s="2">
        <v>292268</v>
      </c>
      <c r="D40" s="2">
        <v>34</v>
      </c>
      <c r="E40" s="2" t="s">
        <v>19</v>
      </c>
      <c r="F40" s="2" t="s">
        <v>62</v>
      </c>
      <c r="G40" s="10">
        <v>40813649.189999998</v>
      </c>
      <c r="H40" s="14">
        <v>1</v>
      </c>
      <c r="I40" s="35">
        <v>0.98314854065613644</v>
      </c>
      <c r="J40" s="12">
        <v>45247</v>
      </c>
      <c r="K40" s="12">
        <v>45530</v>
      </c>
      <c r="L40" s="12">
        <v>45533</v>
      </c>
      <c r="M40" s="12">
        <v>45533</v>
      </c>
      <c r="N40" s="12" t="s">
        <v>42</v>
      </c>
      <c r="O40" s="12" t="s">
        <v>22</v>
      </c>
      <c r="P40" s="3"/>
      <c r="Q40" s="1" t="s">
        <v>63</v>
      </c>
    </row>
    <row r="41" spans="1:17" x14ac:dyDescent="0.25">
      <c r="A41" s="2">
        <v>38</v>
      </c>
      <c r="B41" s="2">
        <v>2457878</v>
      </c>
      <c r="C41" s="2">
        <v>291792</v>
      </c>
      <c r="D41" s="2" t="s">
        <v>66</v>
      </c>
      <c r="E41" s="2" t="s">
        <v>19</v>
      </c>
      <c r="F41" s="2" t="s">
        <v>62</v>
      </c>
      <c r="G41" s="10">
        <v>91796292.069999993</v>
      </c>
      <c r="H41" s="14">
        <v>1</v>
      </c>
      <c r="I41" s="35">
        <v>0.99796391100571424</v>
      </c>
      <c r="J41" s="12">
        <v>45247</v>
      </c>
      <c r="K41" s="12">
        <v>45567</v>
      </c>
      <c r="L41" s="12">
        <v>45574</v>
      </c>
      <c r="M41" s="12">
        <v>45574</v>
      </c>
      <c r="N41" s="12" t="s">
        <v>21</v>
      </c>
      <c r="O41" s="12" t="s">
        <v>22</v>
      </c>
      <c r="P41" s="3"/>
      <c r="Q41" s="1" t="s">
        <v>63</v>
      </c>
    </row>
    <row r="42" spans="1:17" x14ac:dyDescent="0.25">
      <c r="A42" s="2">
        <v>39</v>
      </c>
      <c r="B42" s="2">
        <v>2481449</v>
      </c>
      <c r="C42" s="2">
        <v>292598</v>
      </c>
      <c r="D42" s="2" t="s">
        <v>67</v>
      </c>
      <c r="E42" s="2" t="s">
        <v>19</v>
      </c>
      <c r="F42" s="2" t="s">
        <v>62</v>
      </c>
      <c r="G42" s="10">
        <v>110321209.12</v>
      </c>
      <c r="H42" s="14">
        <v>1</v>
      </c>
      <c r="I42" s="35">
        <v>0.99378066733067005</v>
      </c>
      <c r="J42" s="12">
        <v>45247</v>
      </c>
      <c r="K42" s="12">
        <v>45600</v>
      </c>
      <c r="L42" s="12">
        <v>45603</v>
      </c>
      <c r="M42" s="12">
        <v>45603</v>
      </c>
      <c r="N42" s="12" t="s">
        <v>21</v>
      </c>
      <c r="O42" s="12" t="s">
        <v>22</v>
      </c>
      <c r="P42" s="3"/>
      <c r="Q42" s="1" t="s">
        <v>63</v>
      </c>
    </row>
    <row r="43" spans="1:17" x14ac:dyDescent="0.25">
      <c r="A43" s="2">
        <v>40</v>
      </c>
      <c r="B43" s="2">
        <v>2468688</v>
      </c>
      <c r="C43" s="2">
        <v>292126</v>
      </c>
      <c r="D43" s="2" t="s">
        <v>68</v>
      </c>
      <c r="E43" s="2" t="s">
        <v>19</v>
      </c>
      <c r="F43" s="2" t="s">
        <v>62</v>
      </c>
      <c r="G43" s="10">
        <v>164702191.25999996</v>
      </c>
      <c r="H43" s="14">
        <v>1</v>
      </c>
      <c r="I43" s="35">
        <v>0.99578133323737539</v>
      </c>
      <c r="J43" s="12">
        <v>45247</v>
      </c>
      <c r="K43" s="12">
        <v>45635</v>
      </c>
      <c r="L43" s="12">
        <v>45642</v>
      </c>
      <c r="M43" s="12">
        <v>45642</v>
      </c>
      <c r="N43" s="12" t="s">
        <v>21</v>
      </c>
      <c r="O43" s="12" t="s">
        <v>22</v>
      </c>
      <c r="P43" s="3"/>
      <c r="Q43" s="1" t="s">
        <v>63</v>
      </c>
    </row>
    <row r="44" spans="1:17" x14ac:dyDescent="0.25">
      <c r="A44" s="2">
        <v>41</v>
      </c>
      <c r="B44" s="2">
        <v>2471210</v>
      </c>
      <c r="C44" s="2">
        <v>307458</v>
      </c>
      <c r="D44" s="2" t="s">
        <v>69</v>
      </c>
      <c r="E44" s="2" t="s">
        <v>19</v>
      </c>
      <c r="F44" s="2" t="s">
        <v>62</v>
      </c>
      <c r="G44" s="10">
        <v>64495759.340000011</v>
      </c>
      <c r="H44" s="14">
        <v>1</v>
      </c>
      <c r="I44" s="35">
        <v>0.99774547332277375</v>
      </c>
      <c r="J44" s="12">
        <v>45180</v>
      </c>
      <c r="K44" s="12">
        <v>45420</v>
      </c>
      <c r="L44" s="12">
        <v>45436</v>
      </c>
      <c r="M44" s="12">
        <v>45436</v>
      </c>
      <c r="N44" s="12" t="s">
        <v>21</v>
      </c>
      <c r="O44" s="12" t="s">
        <v>22</v>
      </c>
      <c r="P44" s="3"/>
      <c r="Q44" s="1" t="s">
        <v>70</v>
      </c>
    </row>
    <row r="45" spans="1:17" x14ac:dyDescent="0.25">
      <c r="A45" s="2">
        <v>42</v>
      </c>
      <c r="B45" s="2">
        <v>2463380</v>
      </c>
      <c r="C45" s="2">
        <v>332165</v>
      </c>
      <c r="D45" s="2" t="s">
        <v>71</v>
      </c>
      <c r="E45" s="2" t="s">
        <v>19</v>
      </c>
      <c r="F45" s="2" t="s">
        <v>62</v>
      </c>
      <c r="G45" s="10">
        <v>75546148.639999986</v>
      </c>
      <c r="H45" s="14">
        <v>1</v>
      </c>
      <c r="I45" s="35">
        <v>0.99893033660279518</v>
      </c>
      <c r="J45" s="12">
        <v>45180</v>
      </c>
      <c r="K45" s="12">
        <v>45443</v>
      </c>
      <c r="L45" s="12">
        <v>45442</v>
      </c>
      <c r="M45" s="12">
        <v>45442</v>
      </c>
      <c r="N45" s="12" t="s">
        <v>21</v>
      </c>
      <c r="O45" s="12" t="s">
        <v>22</v>
      </c>
      <c r="P45" s="3"/>
      <c r="Q45" s="1" t="s">
        <v>70</v>
      </c>
    </row>
    <row r="46" spans="1:17" x14ac:dyDescent="0.25">
      <c r="A46" s="2">
        <v>43</v>
      </c>
      <c r="B46" s="2">
        <v>2485468</v>
      </c>
      <c r="C46" s="2">
        <v>298816</v>
      </c>
      <c r="D46" s="2" t="s">
        <v>72</v>
      </c>
      <c r="E46" s="2" t="s">
        <v>19</v>
      </c>
      <c r="F46" s="2" t="s">
        <v>62</v>
      </c>
      <c r="G46" s="10">
        <v>59708422.210000008</v>
      </c>
      <c r="H46" s="14">
        <v>1</v>
      </c>
      <c r="I46" s="35">
        <v>0.99912643395907297</v>
      </c>
      <c r="J46" s="12">
        <v>45180</v>
      </c>
      <c r="K46" s="12">
        <v>45447</v>
      </c>
      <c r="L46" s="12">
        <v>45443</v>
      </c>
      <c r="M46" s="12">
        <v>45443</v>
      </c>
      <c r="N46" s="12" t="s">
        <v>21</v>
      </c>
      <c r="O46" s="12" t="s">
        <v>22</v>
      </c>
      <c r="P46" s="3"/>
      <c r="Q46" s="1" t="s">
        <v>70</v>
      </c>
    </row>
    <row r="47" spans="1:17" x14ac:dyDescent="0.25">
      <c r="A47" s="2">
        <v>44</v>
      </c>
      <c r="B47" s="2">
        <v>2475656</v>
      </c>
      <c r="C47" s="2">
        <v>338855</v>
      </c>
      <c r="D47" s="2" t="s">
        <v>73</v>
      </c>
      <c r="E47" s="2" t="s">
        <v>19</v>
      </c>
      <c r="F47" s="2" t="s">
        <v>62</v>
      </c>
      <c r="G47" s="10">
        <v>58202674.649999999</v>
      </c>
      <c r="H47" s="14">
        <v>1</v>
      </c>
      <c r="I47" s="35">
        <v>0.99936155442643404</v>
      </c>
      <c r="J47" s="12">
        <v>45180</v>
      </c>
      <c r="K47" s="12">
        <v>45440</v>
      </c>
      <c r="L47" s="12">
        <v>45448</v>
      </c>
      <c r="M47" s="12">
        <v>45448</v>
      </c>
      <c r="N47" s="12" t="s">
        <v>21</v>
      </c>
      <c r="O47" s="12" t="s">
        <v>22</v>
      </c>
      <c r="P47" s="3"/>
      <c r="Q47" s="1" t="s">
        <v>70</v>
      </c>
    </row>
    <row r="48" spans="1:17" x14ac:dyDescent="0.25">
      <c r="A48" s="2">
        <v>45</v>
      </c>
      <c r="B48" s="2">
        <v>2462240</v>
      </c>
      <c r="C48" s="2">
        <v>329889</v>
      </c>
      <c r="D48" s="2" t="s">
        <v>74</v>
      </c>
      <c r="E48" s="2" t="s">
        <v>19</v>
      </c>
      <c r="F48" s="2" t="s">
        <v>62</v>
      </c>
      <c r="G48" s="10">
        <v>62741133.329999998</v>
      </c>
      <c r="H48" s="14">
        <v>1</v>
      </c>
      <c r="I48" s="35">
        <v>0.99921780262173654</v>
      </c>
      <c r="J48" s="12">
        <v>45180</v>
      </c>
      <c r="K48" s="12">
        <v>45443</v>
      </c>
      <c r="L48" s="12">
        <v>45449</v>
      </c>
      <c r="M48" s="12">
        <v>45449</v>
      </c>
      <c r="N48" s="12" t="s">
        <v>21</v>
      </c>
      <c r="O48" s="12" t="s">
        <v>22</v>
      </c>
      <c r="P48" s="3"/>
      <c r="Q48" s="1" t="s">
        <v>70</v>
      </c>
    </row>
    <row r="49" spans="1:17" x14ac:dyDescent="0.25">
      <c r="A49" s="2">
        <v>46</v>
      </c>
      <c r="B49" s="2">
        <v>2485549</v>
      </c>
      <c r="C49" s="2">
        <v>340231</v>
      </c>
      <c r="D49" s="2" t="s">
        <v>75</v>
      </c>
      <c r="E49" s="2" t="s">
        <v>19</v>
      </c>
      <c r="F49" s="2" t="s">
        <v>62</v>
      </c>
      <c r="G49" s="10">
        <v>78265455.739999995</v>
      </c>
      <c r="H49" s="14">
        <v>1</v>
      </c>
      <c r="I49" s="35">
        <v>0.99925689757441405</v>
      </c>
      <c r="J49" s="12">
        <v>45180</v>
      </c>
      <c r="K49" s="12">
        <v>45447</v>
      </c>
      <c r="L49" s="12">
        <v>45456</v>
      </c>
      <c r="M49" s="12">
        <v>45456</v>
      </c>
      <c r="N49" s="12" t="s">
        <v>21</v>
      </c>
      <c r="O49" s="12" t="s">
        <v>22</v>
      </c>
      <c r="P49" s="3"/>
      <c r="Q49" s="1" t="s">
        <v>70</v>
      </c>
    </row>
    <row r="50" spans="1:17" x14ac:dyDescent="0.25">
      <c r="A50" s="2">
        <v>47</v>
      </c>
      <c r="B50" s="2">
        <v>2482927</v>
      </c>
      <c r="C50" s="2">
        <v>340189</v>
      </c>
      <c r="D50" s="2" t="s">
        <v>76</v>
      </c>
      <c r="E50" s="2" t="s">
        <v>19</v>
      </c>
      <c r="F50" s="2" t="s">
        <v>62</v>
      </c>
      <c r="G50" s="10">
        <v>75812939.719999999</v>
      </c>
      <c r="H50" s="14">
        <v>1</v>
      </c>
      <c r="I50" s="35">
        <v>0.99931200056095115</v>
      </c>
      <c r="J50" s="12">
        <v>45180</v>
      </c>
      <c r="K50" s="12">
        <v>45453</v>
      </c>
      <c r="L50" s="12">
        <v>45463</v>
      </c>
      <c r="M50" s="12">
        <v>45463</v>
      </c>
      <c r="N50" s="12" t="s">
        <v>21</v>
      </c>
      <c r="O50" s="12" t="s">
        <v>22</v>
      </c>
      <c r="P50" s="3"/>
      <c r="Q50" s="1" t="s">
        <v>70</v>
      </c>
    </row>
    <row r="51" spans="1:17" x14ac:dyDescent="0.25">
      <c r="A51" s="2">
        <v>48</v>
      </c>
      <c r="B51" s="2">
        <v>2459714</v>
      </c>
      <c r="C51" s="2">
        <v>329974</v>
      </c>
      <c r="D51" s="2" t="s">
        <v>77</v>
      </c>
      <c r="E51" s="2" t="s">
        <v>19</v>
      </c>
      <c r="F51" s="2" t="s">
        <v>62</v>
      </c>
      <c r="G51" s="10">
        <v>83183632.769999981</v>
      </c>
      <c r="H51" s="14">
        <v>1</v>
      </c>
      <c r="I51" s="35">
        <v>0.99941002877169738</v>
      </c>
      <c r="J51" s="12">
        <v>45180</v>
      </c>
      <c r="K51" s="12">
        <v>45451</v>
      </c>
      <c r="L51" s="12">
        <v>45464</v>
      </c>
      <c r="M51" s="12">
        <v>45464</v>
      </c>
      <c r="N51" s="12" t="s">
        <v>21</v>
      </c>
      <c r="O51" s="12" t="s">
        <v>22</v>
      </c>
      <c r="P51" s="3"/>
      <c r="Q51" s="1" t="s">
        <v>70</v>
      </c>
    </row>
    <row r="52" spans="1:17" x14ac:dyDescent="0.25">
      <c r="A52" s="2">
        <v>49</v>
      </c>
      <c r="B52" s="2">
        <v>2468576</v>
      </c>
      <c r="C52" s="2">
        <v>320600</v>
      </c>
      <c r="D52" s="2" t="s">
        <v>78</v>
      </c>
      <c r="E52" s="2" t="s">
        <v>19</v>
      </c>
      <c r="F52" s="2" t="s">
        <v>62</v>
      </c>
      <c r="G52" s="10">
        <v>58072785.230000004</v>
      </c>
      <c r="H52" s="14">
        <v>1</v>
      </c>
      <c r="I52" s="35">
        <v>0.99938453184467668</v>
      </c>
      <c r="J52" s="12">
        <v>45180</v>
      </c>
      <c r="K52" s="12">
        <v>45450</v>
      </c>
      <c r="L52" s="12">
        <v>45495</v>
      </c>
      <c r="M52" s="12">
        <v>45495</v>
      </c>
      <c r="N52" s="12" t="s">
        <v>21</v>
      </c>
      <c r="O52" s="12" t="s">
        <v>22</v>
      </c>
      <c r="P52" s="3"/>
      <c r="Q52" s="1" t="s">
        <v>70</v>
      </c>
    </row>
    <row r="53" spans="1:17" x14ac:dyDescent="0.25">
      <c r="A53" s="2">
        <v>50</v>
      </c>
      <c r="B53" s="2">
        <v>2487949</v>
      </c>
      <c r="C53" s="2">
        <v>308783</v>
      </c>
      <c r="D53" s="2" t="s">
        <v>79</v>
      </c>
      <c r="E53" s="2" t="s">
        <v>19</v>
      </c>
      <c r="F53" s="2" t="s">
        <v>62</v>
      </c>
      <c r="G53" s="10">
        <v>54678379.270000003</v>
      </c>
      <c r="H53" s="14">
        <v>1</v>
      </c>
      <c r="I53" s="35">
        <v>0.99904607212766061</v>
      </c>
      <c r="J53" s="12">
        <v>45180</v>
      </c>
      <c r="K53" s="12">
        <v>45488</v>
      </c>
      <c r="L53" s="12">
        <v>45498</v>
      </c>
      <c r="M53" s="12">
        <v>45498</v>
      </c>
      <c r="N53" s="12" t="s">
        <v>21</v>
      </c>
      <c r="O53" s="12" t="s">
        <v>22</v>
      </c>
      <c r="P53" s="3"/>
      <c r="Q53" s="1" t="s">
        <v>70</v>
      </c>
    </row>
    <row r="54" spans="1:17" x14ac:dyDescent="0.25">
      <c r="A54" s="2">
        <v>51</v>
      </c>
      <c r="B54" s="2">
        <v>2488279</v>
      </c>
      <c r="C54" s="2">
        <v>287988</v>
      </c>
      <c r="D54" s="2" t="s">
        <v>80</v>
      </c>
      <c r="E54" s="2" t="s">
        <v>19</v>
      </c>
      <c r="F54" s="2" t="s">
        <v>62</v>
      </c>
      <c r="G54" s="10">
        <v>58455573.57</v>
      </c>
      <c r="H54" s="14">
        <v>1</v>
      </c>
      <c r="I54" s="35">
        <v>0.99910770955078321</v>
      </c>
      <c r="J54" s="12">
        <v>45180</v>
      </c>
      <c r="K54" s="12">
        <v>45446</v>
      </c>
      <c r="L54" s="12">
        <v>45497</v>
      </c>
      <c r="M54" s="12">
        <v>45497</v>
      </c>
      <c r="N54" s="12" t="s">
        <v>21</v>
      </c>
      <c r="O54" s="12" t="s">
        <v>22</v>
      </c>
      <c r="P54" s="3"/>
      <c r="Q54" s="1" t="s">
        <v>70</v>
      </c>
    </row>
    <row r="55" spans="1:17" x14ac:dyDescent="0.25">
      <c r="A55" s="2">
        <v>52</v>
      </c>
      <c r="B55" s="2">
        <v>2456100</v>
      </c>
      <c r="C55" s="2">
        <v>296681</v>
      </c>
      <c r="D55" s="2" t="s">
        <v>81</v>
      </c>
      <c r="E55" s="2" t="s">
        <v>19</v>
      </c>
      <c r="F55" s="2" t="s">
        <v>28</v>
      </c>
      <c r="G55" s="10">
        <v>61374819.460000001</v>
      </c>
      <c r="H55" s="14">
        <v>1</v>
      </c>
      <c r="I55" s="35">
        <v>0.9486247252905563</v>
      </c>
      <c r="J55" s="12">
        <v>45590</v>
      </c>
      <c r="K55" s="12">
        <v>45940</v>
      </c>
      <c r="L55" s="12">
        <v>45947</v>
      </c>
      <c r="M55" s="12">
        <v>45947</v>
      </c>
      <c r="N55" s="12" t="s">
        <v>42</v>
      </c>
      <c r="O55" s="12" t="s">
        <v>45</v>
      </c>
      <c r="P55" s="3" t="s">
        <v>29</v>
      </c>
      <c r="Q55" s="1" t="s">
        <v>82</v>
      </c>
    </row>
    <row r="56" spans="1:17" x14ac:dyDescent="0.25">
      <c r="A56" s="2">
        <v>53</v>
      </c>
      <c r="B56" s="2">
        <v>2473418</v>
      </c>
      <c r="C56" s="2">
        <v>344045</v>
      </c>
      <c r="D56" s="2" t="s">
        <v>83</v>
      </c>
      <c r="E56" s="2" t="s">
        <v>19</v>
      </c>
      <c r="F56" s="2" t="s">
        <v>28</v>
      </c>
      <c r="G56" s="10">
        <v>79373760.409999996</v>
      </c>
      <c r="H56" s="14">
        <v>1</v>
      </c>
      <c r="I56" s="35">
        <v>0.92476605367877152</v>
      </c>
      <c r="J56" s="12">
        <v>45590</v>
      </c>
      <c r="K56" s="12">
        <v>45940</v>
      </c>
      <c r="L56" s="12">
        <v>45947</v>
      </c>
      <c r="M56" s="12">
        <v>45947</v>
      </c>
      <c r="N56" s="12" t="s">
        <v>42</v>
      </c>
      <c r="O56" s="12" t="s">
        <v>45</v>
      </c>
      <c r="P56" s="3" t="s">
        <v>29</v>
      </c>
      <c r="Q56" s="1" t="s">
        <v>82</v>
      </c>
    </row>
    <row r="57" spans="1:17" x14ac:dyDescent="0.25">
      <c r="A57" s="2">
        <v>54</v>
      </c>
      <c r="B57" s="2">
        <v>2473874</v>
      </c>
      <c r="C57" s="2">
        <v>346515</v>
      </c>
      <c r="D57" s="2" t="s">
        <v>84</v>
      </c>
      <c r="E57" s="2" t="s">
        <v>19</v>
      </c>
      <c r="F57" s="2" t="s">
        <v>28</v>
      </c>
      <c r="G57" s="10">
        <v>55445334.779999994</v>
      </c>
      <c r="H57" s="14">
        <v>1</v>
      </c>
      <c r="I57" s="35">
        <v>0.9806357506134622</v>
      </c>
      <c r="J57" s="12">
        <v>45590</v>
      </c>
      <c r="K57" s="12">
        <v>45944</v>
      </c>
      <c r="L57" s="12">
        <v>45952</v>
      </c>
      <c r="M57" s="12">
        <v>45952</v>
      </c>
      <c r="N57" s="12" t="s">
        <v>42</v>
      </c>
      <c r="O57" s="12" t="s">
        <v>45</v>
      </c>
      <c r="P57" s="3" t="s">
        <v>29</v>
      </c>
      <c r="Q57" s="1" t="s">
        <v>82</v>
      </c>
    </row>
    <row r="58" spans="1:17" x14ac:dyDescent="0.25">
      <c r="A58" s="2">
        <v>55</v>
      </c>
      <c r="B58" s="2">
        <v>2482973</v>
      </c>
      <c r="C58" s="2">
        <v>346695</v>
      </c>
      <c r="D58" s="2" t="s">
        <v>85</v>
      </c>
      <c r="E58" s="2" t="s">
        <v>19</v>
      </c>
      <c r="F58" s="2" t="s">
        <v>28</v>
      </c>
      <c r="G58" s="10">
        <v>145310833.85999998</v>
      </c>
      <c r="H58" s="14">
        <v>1</v>
      </c>
      <c r="I58" s="35">
        <v>0.94415768229767438</v>
      </c>
      <c r="J58" s="12">
        <v>45590</v>
      </c>
      <c r="K58" s="12">
        <v>45975</v>
      </c>
      <c r="L58" s="12">
        <v>45981</v>
      </c>
      <c r="M58" s="12">
        <v>45981</v>
      </c>
      <c r="N58" s="12" t="s">
        <v>42</v>
      </c>
      <c r="O58" s="12" t="s">
        <v>22</v>
      </c>
      <c r="P58" s="3" t="s">
        <v>29</v>
      </c>
      <c r="Q58" s="1" t="s">
        <v>82</v>
      </c>
    </row>
    <row r="59" spans="1:17" x14ac:dyDescent="0.25">
      <c r="A59" s="2">
        <v>56</v>
      </c>
      <c r="B59" s="2">
        <v>2489000</v>
      </c>
      <c r="C59" s="2">
        <v>348411</v>
      </c>
      <c r="D59" s="2" t="s">
        <v>86</v>
      </c>
      <c r="E59" s="2" t="s">
        <v>50</v>
      </c>
      <c r="F59" s="2" t="s">
        <v>51</v>
      </c>
      <c r="G59" s="10">
        <v>89675289.25999999</v>
      </c>
      <c r="H59" s="14">
        <v>0.98429999999999995</v>
      </c>
      <c r="I59" s="35">
        <v>0.8272900570736339</v>
      </c>
      <c r="J59" s="12">
        <v>45590</v>
      </c>
      <c r="K59" s="12">
        <v>46133</v>
      </c>
      <c r="L59" s="12">
        <v>46146</v>
      </c>
      <c r="M59" s="12">
        <v>46146</v>
      </c>
      <c r="N59" s="12" t="s">
        <v>42</v>
      </c>
      <c r="O59" s="12" t="s">
        <v>45</v>
      </c>
      <c r="P59" s="3"/>
      <c r="Q59" s="1" t="s">
        <v>82</v>
      </c>
    </row>
    <row r="60" spans="1:17" x14ac:dyDescent="0.25">
      <c r="A60" s="2">
        <v>57</v>
      </c>
      <c r="B60" s="2">
        <v>2489032</v>
      </c>
      <c r="C60" s="2">
        <v>348388</v>
      </c>
      <c r="D60" s="2" t="s">
        <v>87</v>
      </c>
      <c r="E60" s="2" t="s">
        <v>19</v>
      </c>
      <c r="F60" s="2" t="s">
        <v>28</v>
      </c>
      <c r="G60" s="10">
        <v>93423666.859999999</v>
      </c>
      <c r="H60" s="14">
        <v>1</v>
      </c>
      <c r="I60" s="35">
        <v>0.89335115142792643</v>
      </c>
      <c r="J60" s="12">
        <v>45590</v>
      </c>
      <c r="K60" s="12">
        <v>45976</v>
      </c>
      <c r="L60" s="12">
        <v>45989</v>
      </c>
      <c r="M60" s="12">
        <v>45989</v>
      </c>
      <c r="N60" s="12" t="s">
        <v>42</v>
      </c>
      <c r="O60" s="12" t="s">
        <v>22</v>
      </c>
      <c r="P60" s="3" t="s">
        <v>29</v>
      </c>
      <c r="Q60" s="1" t="s">
        <v>82</v>
      </c>
    </row>
    <row r="61" spans="1:17" x14ac:dyDescent="0.25">
      <c r="A61" s="2">
        <v>58</v>
      </c>
      <c r="B61" s="2">
        <v>2474099</v>
      </c>
      <c r="C61" s="2">
        <v>346879</v>
      </c>
      <c r="D61" s="2" t="s">
        <v>88</v>
      </c>
      <c r="E61" s="2" t="s">
        <v>19</v>
      </c>
      <c r="F61" s="2" t="s">
        <v>28</v>
      </c>
      <c r="G61" s="10">
        <v>117070902.25999999</v>
      </c>
      <c r="H61" s="14">
        <v>1</v>
      </c>
      <c r="I61" s="35">
        <v>0.86788381321560337</v>
      </c>
      <c r="J61" s="12">
        <v>45590</v>
      </c>
      <c r="K61" s="12">
        <v>45988</v>
      </c>
      <c r="L61" s="12">
        <v>45996</v>
      </c>
      <c r="M61" s="12">
        <v>45996</v>
      </c>
      <c r="N61" s="12" t="s">
        <v>42</v>
      </c>
      <c r="O61" s="12" t="s">
        <v>22</v>
      </c>
      <c r="P61" s="3" t="s">
        <v>29</v>
      </c>
      <c r="Q61" s="1" t="s">
        <v>82</v>
      </c>
    </row>
    <row r="62" spans="1:17" x14ac:dyDescent="0.25">
      <c r="A62" s="2">
        <v>59</v>
      </c>
      <c r="B62" s="2">
        <v>2456389</v>
      </c>
      <c r="C62" s="2">
        <v>343748</v>
      </c>
      <c r="D62" s="2" t="s">
        <v>89</v>
      </c>
      <c r="E62" s="2" t="s">
        <v>19</v>
      </c>
      <c r="F62" s="2" t="s">
        <v>28</v>
      </c>
      <c r="G62" s="10">
        <v>135132108.72</v>
      </c>
      <c r="H62" s="14">
        <v>1</v>
      </c>
      <c r="I62" s="35">
        <v>0.92049401587995872</v>
      </c>
      <c r="J62" s="12">
        <v>45590</v>
      </c>
      <c r="K62" s="12">
        <v>46009</v>
      </c>
      <c r="L62" s="12">
        <v>46010</v>
      </c>
      <c r="M62" s="12">
        <v>46010</v>
      </c>
      <c r="N62" s="12" t="s">
        <v>42</v>
      </c>
      <c r="O62" s="12" t="s">
        <v>22</v>
      </c>
      <c r="P62" s="3" t="s">
        <v>29</v>
      </c>
      <c r="Q62" s="1" t="s">
        <v>82</v>
      </c>
    </row>
    <row r="63" spans="1:17" x14ac:dyDescent="0.25">
      <c r="A63" s="2">
        <v>60</v>
      </c>
      <c r="B63" s="2">
        <v>2460031</v>
      </c>
      <c r="C63" s="2">
        <v>343772</v>
      </c>
      <c r="D63" s="2" t="s">
        <v>90</v>
      </c>
      <c r="E63" s="2" t="s">
        <v>19</v>
      </c>
      <c r="F63" s="2" t="s">
        <v>28</v>
      </c>
      <c r="G63" s="10">
        <v>96640272.450000003</v>
      </c>
      <c r="H63" s="14">
        <v>1</v>
      </c>
      <c r="I63" s="35">
        <v>0.89969892774241655</v>
      </c>
      <c r="J63" s="12">
        <v>45590</v>
      </c>
      <c r="K63" s="12">
        <v>46014</v>
      </c>
      <c r="L63" s="12">
        <v>46021</v>
      </c>
      <c r="M63" s="12">
        <v>46021</v>
      </c>
      <c r="N63" s="12" t="s">
        <v>42</v>
      </c>
      <c r="O63" s="12" t="s">
        <v>22</v>
      </c>
      <c r="P63" s="3" t="s">
        <v>29</v>
      </c>
      <c r="Q63" s="1" t="s">
        <v>82</v>
      </c>
    </row>
    <row r="64" spans="1:17" x14ac:dyDescent="0.25">
      <c r="A64" s="2">
        <v>61</v>
      </c>
      <c r="B64" s="2">
        <v>2489023</v>
      </c>
      <c r="C64" s="2" t="s">
        <v>91</v>
      </c>
      <c r="D64" s="2" t="s">
        <v>92</v>
      </c>
      <c r="E64" s="2" t="s">
        <v>19</v>
      </c>
      <c r="F64" s="2" t="s">
        <v>28</v>
      </c>
      <c r="G64" s="10">
        <v>100095586.51000002</v>
      </c>
      <c r="H64" s="14">
        <v>1</v>
      </c>
      <c r="I64" s="35">
        <v>0.98131222459230871</v>
      </c>
      <c r="J64" s="12">
        <v>45435</v>
      </c>
      <c r="K64" s="12">
        <v>45822</v>
      </c>
      <c r="L64" s="12">
        <v>45785</v>
      </c>
      <c r="M64" s="12">
        <v>45785</v>
      </c>
      <c r="N64" s="12" t="s">
        <v>42</v>
      </c>
      <c r="O64" s="12" t="s">
        <v>22</v>
      </c>
      <c r="P64" s="3" t="s">
        <v>29</v>
      </c>
      <c r="Q64" s="1" t="s">
        <v>93</v>
      </c>
    </row>
    <row r="65" spans="1:17" x14ac:dyDescent="0.25">
      <c r="A65" s="2">
        <v>62</v>
      </c>
      <c r="B65" s="2">
        <v>2488994</v>
      </c>
      <c r="C65" s="2" t="s">
        <v>94</v>
      </c>
      <c r="D65" s="2" t="s">
        <v>95</v>
      </c>
      <c r="E65" s="2" t="s">
        <v>19</v>
      </c>
      <c r="F65" s="2" t="s">
        <v>28</v>
      </c>
      <c r="G65" s="10">
        <v>101344185.08</v>
      </c>
      <c r="H65" s="14">
        <v>1</v>
      </c>
      <c r="I65" s="35">
        <v>0.98690078765790001</v>
      </c>
      <c r="J65" s="12">
        <v>45435</v>
      </c>
      <c r="K65" s="12">
        <v>45824</v>
      </c>
      <c r="L65" s="12">
        <v>45800</v>
      </c>
      <c r="M65" s="12">
        <v>45800</v>
      </c>
      <c r="N65" s="12" t="s">
        <v>42</v>
      </c>
      <c r="O65" s="12" t="s">
        <v>22</v>
      </c>
      <c r="P65" s="3" t="s">
        <v>29</v>
      </c>
      <c r="Q65" s="1" t="s">
        <v>93</v>
      </c>
    </row>
    <row r="66" spans="1:17" x14ac:dyDescent="0.25">
      <c r="A66" s="2">
        <v>63</v>
      </c>
      <c r="B66" s="2">
        <v>2482810</v>
      </c>
      <c r="C66" s="2" t="s">
        <v>96</v>
      </c>
      <c r="D66" s="2" t="s">
        <v>97</v>
      </c>
      <c r="E66" s="2" t="s">
        <v>19</v>
      </c>
      <c r="F66" s="2" t="s">
        <v>28</v>
      </c>
      <c r="G66" s="10">
        <v>136867819.32999998</v>
      </c>
      <c r="H66" s="14">
        <v>1</v>
      </c>
      <c r="I66" s="35">
        <v>0.94542592958253724</v>
      </c>
      <c r="J66" s="12">
        <v>45435</v>
      </c>
      <c r="K66" s="12">
        <v>45939</v>
      </c>
      <c r="L66" s="12">
        <v>45828</v>
      </c>
      <c r="M66" s="12">
        <v>45828</v>
      </c>
      <c r="N66" s="12" t="s">
        <v>42</v>
      </c>
      <c r="O66" s="12" t="s">
        <v>22</v>
      </c>
      <c r="P66" s="3" t="s">
        <v>29</v>
      </c>
      <c r="Q66" s="1" t="s">
        <v>93</v>
      </c>
    </row>
    <row r="67" spans="1:17" x14ac:dyDescent="0.25">
      <c r="A67" s="2">
        <v>64</v>
      </c>
      <c r="B67" s="2">
        <v>2489076</v>
      </c>
      <c r="C67" s="2">
        <v>502884</v>
      </c>
      <c r="D67" s="2" t="s">
        <v>98</v>
      </c>
      <c r="E67" s="2" t="s">
        <v>19</v>
      </c>
      <c r="F67" s="2" t="s">
        <v>28</v>
      </c>
      <c r="G67" s="10">
        <v>109143655.10999998</v>
      </c>
      <c r="H67" s="14">
        <v>1</v>
      </c>
      <c r="I67" s="35">
        <v>0.97823515863010202</v>
      </c>
      <c r="J67" s="12">
        <v>45435</v>
      </c>
      <c r="K67" s="12">
        <v>45925</v>
      </c>
      <c r="L67" s="12">
        <v>45863</v>
      </c>
      <c r="M67" s="12">
        <v>45863</v>
      </c>
      <c r="N67" s="12" t="s">
        <v>21</v>
      </c>
      <c r="O67" s="12" t="s">
        <v>22</v>
      </c>
      <c r="P67" s="3" t="s">
        <v>29</v>
      </c>
      <c r="Q67" s="1" t="s">
        <v>93</v>
      </c>
    </row>
    <row r="68" spans="1:17" x14ac:dyDescent="0.25">
      <c r="A68" s="2">
        <v>65</v>
      </c>
      <c r="B68" s="2">
        <v>2483701</v>
      </c>
      <c r="C68" s="2">
        <v>349496</v>
      </c>
      <c r="D68" s="2">
        <v>21578</v>
      </c>
      <c r="E68" s="2" t="s">
        <v>19</v>
      </c>
      <c r="F68" s="2" t="s">
        <v>28</v>
      </c>
      <c r="G68" s="10">
        <v>79249109.950000003</v>
      </c>
      <c r="H68" s="14">
        <v>1</v>
      </c>
      <c r="I68" s="35">
        <v>0.93766442369994107</v>
      </c>
      <c r="J68" s="12">
        <v>45331</v>
      </c>
      <c r="K68" s="12">
        <v>45915</v>
      </c>
      <c r="L68" s="12">
        <v>45919</v>
      </c>
      <c r="M68" s="12">
        <v>45919</v>
      </c>
      <c r="N68" s="12" t="s">
        <v>42</v>
      </c>
      <c r="O68" s="12" t="s">
        <v>45</v>
      </c>
      <c r="P68" s="3" t="s">
        <v>29</v>
      </c>
      <c r="Q68" s="1" t="s">
        <v>99</v>
      </c>
    </row>
    <row r="69" spans="1:17" x14ac:dyDescent="0.25">
      <c r="A69" s="2">
        <v>66</v>
      </c>
      <c r="B69" s="2">
        <v>2482024</v>
      </c>
      <c r="C69" s="2">
        <v>131789</v>
      </c>
      <c r="D69" s="2" t="s">
        <v>100</v>
      </c>
      <c r="E69" s="2" t="s">
        <v>19</v>
      </c>
      <c r="F69" s="2" t="s">
        <v>28</v>
      </c>
      <c r="G69" s="10">
        <v>108538784.71999998</v>
      </c>
      <c r="H69" s="14">
        <v>1</v>
      </c>
      <c r="I69" s="35">
        <v>0.97045041034618273</v>
      </c>
      <c r="J69" s="12">
        <v>45331</v>
      </c>
      <c r="K69" s="12">
        <v>45988</v>
      </c>
      <c r="L69" s="12">
        <v>45989</v>
      </c>
      <c r="M69" s="12">
        <v>45989</v>
      </c>
      <c r="N69" s="12" t="s">
        <v>42</v>
      </c>
      <c r="O69" s="12" t="s">
        <v>45</v>
      </c>
      <c r="P69" s="3" t="s">
        <v>29</v>
      </c>
      <c r="Q69" s="1" t="s">
        <v>99</v>
      </c>
    </row>
    <row r="70" spans="1:17" x14ac:dyDescent="0.25">
      <c r="A70" s="2">
        <v>67</v>
      </c>
      <c r="B70" s="2">
        <v>2488856</v>
      </c>
      <c r="C70" s="2">
        <v>256133</v>
      </c>
      <c r="D70" s="2" t="s">
        <v>101</v>
      </c>
      <c r="E70" s="2" t="s">
        <v>50</v>
      </c>
      <c r="F70" s="2" t="s">
        <v>51</v>
      </c>
      <c r="G70" s="10">
        <v>106223517.53</v>
      </c>
      <c r="H70" s="14">
        <v>0.89710000000000001</v>
      </c>
      <c r="I70" s="35">
        <v>0.87905323360835241</v>
      </c>
      <c r="J70" s="12">
        <v>45331</v>
      </c>
      <c r="K70" s="12">
        <v>46193</v>
      </c>
      <c r="L70" s="12">
        <v>46200</v>
      </c>
      <c r="M70" s="12">
        <v>46200</v>
      </c>
      <c r="N70" s="12" t="s">
        <v>42</v>
      </c>
      <c r="O70" s="12" t="s">
        <v>45</v>
      </c>
      <c r="P70" s="3"/>
      <c r="Q70" s="1" t="s">
        <v>99</v>
      </c>
    </row>
    <row r="71" spans="1:17" x14ac:dyDescent="0.25">
      <c r="A71" s="2">
        <v>68</v>
      </c>
      <c r="B71" s="2">
        <v>2483179</v>
      </c>
      <c r="C71" s="2">
        <v>281745</v>
      </c>
      <c r="D71" s="2" t="s">
        <v>102</v>
      </c>
      <c r="E71" s="2" t="s">
        <v>50</v>
      </c>
      <c r="F71" s="2" t="s">
        <v>51</v>
      </c>
      <c r="G71" s="10">
        <v>128207684.89999999</v>
      </c>
      <c r="H71" s="14">
        <v>0.82809999999999995</v>
      </c>
      <c r="I71" s="35">
        <v>0.86289190079587808</v>
      </c>
      <c r="J71" s="12">
        <v>45331</v>
      </c>
      <c r="K71" s="12">
        <v>46196</v>
      </c>
      <c r="L71" s="12">
        <v>46203</v>
      </c>
      <c r="M71" s="12">
        <v>46203</v>
      </c>
      <c r="N71" s="12" t="s">
        <v>42</v>
      </c>
      <c r="O71" s="12" t="s">
        <v>45</v>
      </c>
      <c r="P71" s="3"/>
      <c r="Q71" s="1" t="s">
        <v>99</v>
      </c>
    </row>
    <row r="72" spans="1:17" x14ac:dyDescent="0.25">
      <c r="A72" s="2">
        <v>69</v>
      </c>
      <c r="B72" s="2">
        <v>2480537</v>
      </c>
      <c r="C72" s="2">
        <v>448972</v>
      </c>
      <c r="D72" s="2" t="s">
        <v>103</v>
      </c>
      <c r="E72" s="2" t="s">
        <v>19</v>
      </c>
      <c r="F72" s="2" t="s">
        <v>28</v>
      </c>
      <c r="G72" s="10">
        <v>60108045.739999995</v>
      </c>
      <c r="H72" s="14">
        <v>1</v>
      </c>
      <c r="I72" s="35">
        <v>0.96504406832508671</v>
      </c>
      <c r="J72" s="12">
        <v>45625</v>
      </c>
      <c r="K72" s="12">
        <v>45945</v>
      </c>
      <c r="L72" s="12">
        <v>45952</v>
      </c>
      <c r="M72" s="12">
        <v>45952</v>
      </c>
      <c r="N72" s="12" t="s">
        <v>42</v>
      </c>
      <c r="O72" s="12" t="s">
        <v>22</v>
      </c>
      <c r="P72" s="3" t="s">
        <v>29</v>
      </c>
      <c r="Q72" s="1" t="s">
        <v>104</v>
      </c>
    </row>
    <row r="73" spans="1:17" x14ac:dyDescent="0.25">
      <c r="A73" s="2">
        <v>70</v>
      </c>
      <c r="B73" s="2">
        <v>2488993</v>
      </c>
      <c r="C73" s="2" t="s">
        <v>105</v>
      </c>
      <c r="D73" s="2" t="s">
        <v>106</v>
      </c>
      <c r="E73" s="2" t="s">
        <v>19</v>
      </c>
      <c r="F73" s="2" t="s">
        <v>28</v>
      </c>
      <c r="G73" s="10">
        <v>85627665.510000005</v>
      </c>
      <c r="H73" s="14">
        <v>1</v>
      </c>
      <c r="I73" s="35">
        <v>0.98413299940027765</v>
      </c>
      <c r="J73" s="12">
        <v>45625</v>
      </c>
      <c r="K73" s="12">
        <v>45980</v>
      </c>
      <c r="L73" s="12">
        <v>45988</v>
      </c>
      <c r="M73" s="12">
        <v>45988</v>
      </c>
      <c r="N73" s="12" t="s">
        <v>42</v>
      </c>
      <c r="O73" s="12" t="s">
        <v>45</v>
      </c>
      <c r="P73" s="3" t="s">
        <v>29</v>
      </c>
      <c r="Q73" s="1" t="s">
        <v>104</v>
      </c>
    </row>
    <row r="74" spans="1:17" x14ac:dyDescent="0.25">
      <c r="A74" s="2">
        <v>71</v>
      </c>
      <c r="B74" s="2">
        <v>2480603</v>
      </c>
      <c r="C74" s="2">
        <v>445723</v>
      </c>
      <c r="D74" s="2" t="s">
        <v>107</v>
      </c>
      <c r="E74" s="2" t="s">
        <v>19</v>
      </c>
      <c r="F74" s="2" t="s">
        <v>28</v>
      </c>
      <c r="G74" s="10">
        <v>104758469.25</v>
      </c>
      <c r="H74" s="14">
        <v>1</v>
      </c>
      <c r="I74" s="35">
        <v>0.97947652609481028</v>
      </c>
      <c r="J74" s="12">
        <v>45625</v>
      </c>
      <c r="K74" s="12">
        <v>45985</v>
      </c>
      <c r="L74" s="12">
        <v>46003</v>
      </c>
      <c r="M74" s="12">
        <v>46003</v>
      </c>
      <c r="N74" s="12" t="s">
        <v>42</v>
      </c>
      <c r="O74" s="12" t="s">
        <v>22</v>
      </c>
      <c r="P74" s="3" t="s">
        <v>29</v>
      </c>
      <c r="Q74" s="1" t="s">
        <v>104</v>
      </c>
    </row>
    <row r="75" spans="1:17" x14ac:dyDescent="0.25">
      <c r="A75" s="2">
        <v>72</v>
      </c>
      <c r="B75" s="2">
        <v>2480681</v>
      </c>
      <c r="C75" s="2">
        <v>455444</v>
      </c>
      <c r="D75" s="2" t="s">
        <v>108</v>
      </c>
      <c r="E75" s="2" t="s">
        <v>19</v>
      </c>
      <c r="F75" s="2" t="s">
        <v>28</v>
      </c>
      <c r="G75" s="10">
        <v>79943584.980000019</v>
      </c>
      <c r="H75" s="14">
        <v>1</v>
      </c>
      <c r="I75" s="35">
        <v>0.97623733423419468</v>
      </c>
      <c r="J75" s="12">
        <v>45625</v>
      </c>
      <c r="K75" s="12">
        <v>46002</v>
      </c>
      <c r="L75" s="12">
        <v>46006</v>
      </c>
      <c r="M75" s="12">
        <v>46006</v>
      </c>
      <c r="N75" s="12" t="s">
        <v>42</v>
      </c>
      <c r="O75" s="12" t="s">
        <v>22</v>
      </c>
      <c r="P75" s="3" t="s">
        <v>29</v>
      </c>
      <c r="Q75" s="1" t="s">
        <v>104</v>
      </c>
    </row>
    <row r="76" spans="1:17" x14ac:dyDescent="0.25">
      <c r="A76" s="2">
        <v>73</v>
      </c>
      <c r="B76" s="2">
        <v>2489002</v>
      </c>
      <c r="C76" s="2">
        <v>467970</v>
      </c>
      <c r="D76" s="2" t="s">
        <v>109</v>
      </c>
      <c r="E76" s="2" t="s">
        <v>19</v>
      </c>
      <c r="F76" s="2" t="s">
        <v>28</v>
      </c>
      <c r="G76" s="10">
        <v>106162101.75999999</v>
      </c>
      <c r="H76" s="14">
        <v>1</v>
      </c>
      <c r="I76" s="35">
        <v>0.97286004504212265</v>
      </c>
      <c r="J76" s="12">
        <v>45625</v>
      </c>
      <c r="K76" s="12">
        <v>45997</v>
      </c>
      <c r="L76" s="12">
        <v>46007</v>
      </c>
      <c r="M76" s="12">
        <v>46007</v>
      </c>
      <c r="N76" s="12" t="s">
        <v>42</v>
      </c>
      <c r="O76" s="12" t="s">
        <v>22</v>
      </c>
      <c r="P76" s="3" t="s">
        <v>29</v>
      </c>
      <c r="Q76" s="1" t="s">
        <v>104</v>
      </c>
    </row>
    <row r="77" spans="1:17" x14ac:dyDescent="0.25">
      <c r="A77" s="2">
        <v>74</v>
      </c>
      <c r="B77" s="2">
        <v>2489010</v>
      </c>
      <c r="C77" s="2">
        <v>451337</v>
      </c>
      <c r="D77" s="2" t="s">
        <v>110</v>
      </c>
      <c r="E77" s="2" t="s">
        <v>19</v>
      </c>
      <c r="F77" s="2" t="s">
        <v>28</v>
      </c>
      <c r="G77" s="10">
        <v>91925535.080000013</v>
      </c>
      <c r="H77" s="14">
        <v>1</v>
      </c>
      <c r="I77" s="35">
        <v>0.98675165720884683</v>
      </c>
      <c r="J77" s="12">
        <v>45625</v>
      </c>
      <c r="K77" s="12">
        <v>46002</v>
      </c>
      <c r="L77" s="12">
        <v>46009</v>
      </c>
      <c r="M77" s="12">
        <v>46009</v>
      </c>
      <c r="N77" s="12" t="s">
        <v>42</v>
      </c>
      <c r="O77" s="12" t="s">
        <v>22</v>
      </c>
      <c r="P77" s="3" t="s">
        <v>29</v>
      </c>
      <c r="Q77" s="1" t="s">
        <v>104</v>
      </c>
    </row>
    <row r="78" spans="1:17" x14ac:dyDescent="0.25">
      <c r="A78" s="2">
        <v>75</v>
      </c>
      <c r="B78" s="2">
        <v>2485232</v>
      </c>
      <c r="C78" s="2">
        <v>150645</v>
      </c>
      <c r="D78" s="2" t="s">
        <v>111</v>
      </c>
      <c r="E78" s="2" t="s">
        <v>19</v>
      </c>
      <c r="F78" s="2" t="s">
        <v>28</v>
      </c>
      <c r="G78" s="10">
        <v>122011014.58</v>
      </c>
      <c r="H78" s="14">
        <v>1</v>
      </c>
      <c r="I78" s="35">
        <v>0.97914075939159373</v>
      </c>
      <c r="J78" s="12">
        <v>45625</v>
      </c>
      <c r="K78" s="12">
        <v>46001</v>
      </c>
      <c r="L78" s="12">
        <v>46022</v>
      </c>
      <c r="M78" s="12">
        <v>46022</v>
      </c>
      <c r="N78" s="12" t="s">
        <v>42</v>
      </c>
      <c r="O78" s="12" t="s">
        <v>45</v>
      </c>
      <c r="P78" s="3" t="s">
        <v>29</v>
      </c>
      <c r="Q78" s="1" t="s">
        <v>104</v>
      </c>
    </row>
    <row r="79" spans="1:17" x14ac:dyDescent="0.25">
      <c r="A79" s="16">
        <v>76</v>
      </c>
      <c r="B79" s="16">
        <v>2676187</v>
      </c>
      <c r="C79" s="16">
        <v>438529</v>
      </c>
      <c r="D79" s="16" t="s">
        <v>112</v>
      </c>
      <c r="E79" s="16" t="s">
        <v>113</v>
      </c>
      <c r="F79" s="16" t="s">
        <v>114</v>
      </c>
      <c r="G79" s="39">
        <v>198196349.44999999</v>
      </c>
      <c r="H79" s="40">
        <v>0</v>
      </c>
      <c r="I79" s="41">
        <v>0</v>
      </c>
      <c r="J79" s="32"/>
      <c r="K79" s="32"/>
      <c r="L79" s="32"/>
      <c r="M79" s="32"/>
      <c r="N79" s="32"/>
      <c r="O79" s="32" t="s">
        <v>115</v>
      </c>
      <c r="P79" s="42"/>
      <c r="Q79" s="1" t="s">
        <v>116</v>
      </c>
    </row>
    <row r="80" spans="1:17" x14ac:dyDescent="0.25">
      <c r="A80" s="16">
        <v>77</v>
      </c>
      <c r="B80" s="16">
        <v>2501911</v>
      </c>
      <c r="C80" s="16">
        <v>400079</v>
      </c>
      <c r="D80" s="16" t="s">
        <v>117</v>
      </c>
      <c r="E80" s="16" t="s">
        <v>114</v>
      </c>
      <c r="F80" s="16" t="s">
        <v>114</v>
      </c>
      <c r="G80" s="39">
        <v>116601475.33000003</v>
      </c>
      <c r="H80" s="40">
        <v>0</v>
      </c>
      <c r="I80" s="41">
        <v>0</v>
      </c>
      <c r="J80" s="32"/>
      <c r="K80" s="32"/>
      <c r="L80" s="32"/>
      <c r="M80" s="32"/>
      <c r="N80" s="32"/>
      <c r="O80" s="32" t="s">
        <v>115</v>
      </c>
      <c r="P80" s="42"/>
      <c r="Q80" s="1" t="s">
        <v>116</v>
      </c>
    </row>
    <row r="81" spans="1:17" x14ac:dyDescent="0.25">
      <c r="A81" s="16">
        <v>78</v>
      </c>
      <c r="B81" s="16">
        <v>2503951</v>
      </c>
      <c r="C81" s="16">
        <v>408792</v>
      </c>
      <c r="D81" s="16" t="s">
        <v>118</v>
      </c>
      <c r="E81" s="16" t="s">
        <v>114</v>
      </c>
      <c r="F81" s="16" t="s">
        <v>114</v>
      </c>
      <c r="G81" s="39">
        <v>126816987.02000001</v>
      </c>
      <c r="H81" s="40">
        <v>0</v>
      </c>
      <c r="I81" s="41">
        <v>0</v>
      </c>
      <c r="J81" s="32"/>
      <c r="K81" s="32"/>
      <c r="L81" s="32"/>
      <c r="M81" s="32"/>
      <c r="N81" s="32"/>
      <c r="O81" s="32" t="s">
        <v>115</v>
      </c>
      <c r="P81" s="42"/>
      <c r="Q81" s="1" t="s">
        <v>116</v>
      </c>
    </row>
    <row r="82" spans="1:17" x14ac:dyDescent="0.25">
      <c r="A82" s="16">
        <v>79</v>
      </c>
      <c r="B82" s="16">
        <v>2502170</v>
      </c>
      <c r="C82" s="16">
        <v>373373</v>
      </c>
      <c r="D82" s="16" t="s">
        <v>119</v>
      </c>
      <c r="E82" s="16" t="s">
        <v>114</v>
      </c>
      <c r="F82" s="16" t="s">
        <v>114</v>
      </c>
      <c r="G82" s="39">
        <v>122473586.55000001</v>
      </c>
      <c r="H82" s="40">
        <v>0</v>
      </c>
      <c r="I82" s="41">
        <v>0</v>
      </c>
      <c r="J82" s="32"/>
      <c r="K82" s="32"/>
      <c r="L82" s="32"/>
      <c r="M82" s="32"/>
      <c r="N82" s="32"/>
      <c r="O82" s="32" t="s">
        <v>115</v>
      </c>
      <c r="P82" s="42"/>
      <c r="Q82" s="1" t="s">
        <v>116</v>
      </c>
    </row>
    <row r="83" spans="1:17" x14ac:dyDescent="0.25">
      <c r="A83" s="16">
        <v>80</v>
      </c>
      <c r="B83" s="16">
        <v>2664615</v>
      </c>
      <c r="C83" s="16">
        <v>804301</v>
      </c>
      <c r="D83" s="16" t="s">
        <v>120</v>
      </c>
      <c r="E83" s="16" t="s">
        <v>114</v>
      </c>
      <c r="F83" s="16" t="s">
        <v>114</v>
      </c>
      <c r="G83" s="39">
        <v>168360704.56</v>
      </c>
      <c r="H83" s="40">
        <v>0</v>
      </c>
      <c r="I83" s="41">
        <v>0</v>
      </c>
      <c r="J83" s="32"/>
      <c r="K83" s="32"/>
      <c r="L83" s="32"/>
      <c r="M83" s="32"/>
      <c r="N83" s="32"/>
      <c r="O83" s="32" t="s">
        <v>115</v>
      </c>
      <c r="P83" s="42"/>
      <c r="Q83" s="1" t="s">
        <v>121</v>
      </c>
    </row>
    <row r="84" spans="1:17" x14ac:dyDescent="0.25">
      <c r="A84" s="16">
        <v>81</v>
      </c>
      <c r="B84" s="16">
        <v>2433305</v>
      </c>
      <c r="C84" s="16">
        <v>11975</v>
      </c>
      <c r="D84" s="16" t="s">
        <v>122</v>
      </c>
      <c r="E84" s="16" t="s">
        <v>114</v>
      </c>
      <c r="F84" s="16" t="s">
        <v>114</v>
      </c>
      <c r="G84" s="39">
        <v>84754364.300000012</v>
      </c>
      <c r="H84" s="40">
        <v>0</v>
      </c>
      <c r="I84" s="41">
        <v>7.6692215836724755E-4</v>
      </c>
      <c r="J84" s="32"/>
      <c r="K84" s="32"/>
      <c r="L84" s="32"/>
      <c r="M84" s="32"/>
      <c r="N84" s="32"/>
      <c r="O84" s="32" t="s">
        <v>115</v>
      </c>
      <c r="P84" s="42"/>
      <c r="Q84" s="1" t="s">
        <v>121</v>
      </c>
    </row>
    <row r="85" spans="1:17" x14ac:dyDescent="0.25">
      <c r="A85" s="16">
        <v>82</v>
      </c>
      <c r="B85" s="16">
        <v>2453169</v>
      </c>
      <c r="C85" s="16">
        <v>632022</v>
      </c>
      <c r="D85" s="16" t="s">
        <v>123</v>
      </c>
      <c r="E85" s="16" t="s">
        <v>114</v>
      </c>
      <c r="F85" s="16" t="s">
        <v>114</v>
      </c>
      <c r="G85" s="39">
        <v>42986582.990000002</v>
      </c>
      <c r="H85" s="40">
        <v>0</v>
      </c>
      <c r="I85" s="41">
        <v>1.1398905563486845E-3</v>
      </c>
      <c r="J85" s="32"/>
      <c r="K85" s="32"/>
      <c r="L85" s="32"/>
      <c r="M85" s="32"/>
      <c r="N85" s="32"/>
      <c r="O85" s="32" t="s">
        <v>115</v>
      </c>
      <c r="P85" s="42"/>
      <c r="Q85" s="1" t="s">
        <v>121</v>
      </c>
    </row>
    <row r="86" spans="1:17" x14ac:dyDescent="0.25">
      <c r="A86" s="16">
        <v>83</v>
      </c>
      <c r="B86" s="16">
        <v>2673309</v>
      </c>
      <c r="C86" s="16">
        <v>12060</v>
      </c>
      <c r="D86" s="16" t="s">
        <v>124</v>
      </c>
      <c r="E86" s="16" t="s">
        <v>114</v>
      </c>
      <c r="F86" s="16" t="s">
        <v>114</v>
      </c>
      <c r="G86" s="39">
        <v>44778381.409999996</v>
      </c>
      <c r="H86" s="40">
        <v>0</v>
      </c>
      <c r="I86" s="41">
        <v>0</v>
      </c>
      <c r="J86" s="32"/>
      <c r="K86" s="32"/>
      <c r="L86" s="32"/>
      <c r="M86" s="32"/>
      <c r="N86" s="32"/>
      <c r="O86" s="32" t="s">
        <v>115</v>
      </c>
      <c r="P86" s="42"/>
      <c r="Q86" s="1" t="s">
        <v>121</v>
      </c>
    </row>
    <row r="87" spans="1:17" x14ac:dyDescent="0.25">
      <c r="A87" s="16">
        <v>84</v>
      </c>
      <c r="B87" s="16">
        <v>2498863</v>
      </c>
      <c r="C87" s="16">
        <v>94895</v>
      </c>
      <c r="D87" s="16" t="s">
        <v>125</v>
      </c>
      <c r="E87" s="16" t="s">
        <v>114</v>
      </c>
      <c r="F87" s="16" t="s">
        <v>114</v>
      </c>
      <c r="G87" s="39">
        <v>87068059.430000022</v>
      </c>
      <c r="H87" s="40">
        <v>0</v>
      </c>
      <c r="I87" s="41">
        <v>0</v>
      </c>
      <c r="J87" s="32"/>
      <c r="K87" s="32"/>
      <c r="L87" s="32"/>
      <c r="M87" s="32"/>
      <c r="N87" s="32"/>
      <c r="O87" s="32" t="s">
        <v>115</v>
      </c>
      <c r="P87" s="42"/>
      <c r="Q87" s="1" t="s">
        <v>126</v>
      </c>
    </row>
    <row r="88" spans="1:17" x14ac:dyDescent="0.25">
      <c r="A88" s="16">
        <v>85</v>
      </c>
      <c r="B88" s="16">
        <v>2198272</v>
      </c>
      <c r="C88" s="16">
        <v>76472</v>
      </c>
      <c r="D88" s="16" t="s">
        <v>127</v>
      </c>
      <c r="E88" s="16" t="s">
        <v>114</v>
      </c>
      <c r="F88" s="16" t="s">
        <v>114</v>
      </c>
      <c r="G88" s="39">
        <v>65422103.020000003</v>
      </c>
      <c r="H88" s="40">
        <v>0</v>
      </c>
      <c r="I88" s="41">
        <v>1.8351443083891251E-3</v>
      </c>
      <c r="J88" s="32"/>
      <c r="K88" s="32"/>
      <c r="L88" s="32"/>
      <c r="M88" s="32"/>
      <c r="N88" s="32"/>
      <c r="O88" s="32" t="s">
        <v>115</v>
      </c>
      <c r="P88" s="42"/>
      <c r="Q88" s="1" t="s">
        <v>126</v>
      </c>
    </row>
    <row r="89" spans="1:17" x14ac:dyDescent="0.25">
      <c r="A89" s="16">
        <v>86</v>
      </c>
      <c r="B89" s="16">
        <v>2539169</v>
      </c>
      <c r="C89" s="16">
        <v>49025</v>
      </c>
      <c r="D89" s="16" t="s">
        <v>128</v>
      </c>
      <c r="E89" s="16" t="s">
        <v>114</v>
      </c>
      <c r="F89" s="16" t="s">
        <v>114</v>
      </c>
      <c r="G89" s="39">
        <v>45786304.600000001</v>
      </c>
      <c r="H89" s="40">
        <v>0</v>
      </c>
      <c r="I89" s="41">
        <v>0</v>
      </c>
      <c r="J89" s="32"/>
      <c r="K89" s="32"/>
      <c r="L89" s="32"/>
      <c r="M89" s="32"/>
      <c r="N89" s="32"/>
      <c r="O89" s="32" t="s">
        <v>115</v>
      </c>
      <c r="P89" s="42"/>
      <c r="Q89" s="1" t="s">
        <v>126</v>
      </c>
    </row>
    <row r="90" spans="1:17" x14ac:dyDescent="0.25">
      <c r="A90" s="16">
        <v>87</v>
      </c>
      <c r="B90" s="16">
        <v>2462394</v>
      </c>
      <c r="C90" s="16">
        <v>49011</v>
      </c>
      <c r="D90" s="16" t="s">
        <v>129</v>
      </c>
      <c r="E90" s="16" t="s">
        <v>114</v>
      </c>
      <c r="F90" s="16" t="s">
        <v>114</v>
      </c>
      <c r="G90" s="39">
        <v>52443820.559999995</v>
      </c>
      <c r="H90" s="40">
        <v>0</v>
      </c>
      <c r="I90" s="41">
        <v>1.0719833032698486E-2</v>
      </c>
      <c r="J90" s="32"/>
      <c r="K90" s="32"/>
      <c r="L90" s="32"/>
      <c r="M90" s="32"/>
      <c r="N90" s="32"/>
      <c r="O90" s="32" t="s">
        <v>115</v>
      </c>
      <c r="P90" s="42"/>
      <c r="Q90" s="1" t="s">
        <v>126</v>
      </c>
    </row>
    <row r="91" spans="1:17" x14ac:dyDescent="0.25">
      <c r="A91" s="16">
        <v>88</v>
      </c>
      <c r="B91" s="16">
        <v>2484532</v>
      </c>
      <c r="C91" s="16">
        <v>44645</v>
      </c>
      <c r="D91" s="16" t="s">
        <v>130</v>
      </c>
      <c r="E91" s="16" t="s">
        <v>114</v>
      </c>
      <c r="F91" s="16" t="s">
        <v>114</v>
      </c>
      <c r="G91" s="39">
        <v>61962468.790000007</v>
      </c>
      <c r="H91" s="40">
        <v>0</v>
      </c>
      <c r="I91" s="41">
        <v>2.1787382368113027E-3</v>
      </c>
      <c r="J91" s="32"/>
      <c r="K91" s="32"/>
      <c r="L91" s="32"/>
      <c r="M91" s="32"/>
      <c r="N91" s="32"/>
      <c r="O91" s="32" t="s">
        <v>115</v>
      </c>
      <c r="P91" s="42"/>
      <c r="Q91" s="1" t="s">
        <v>126</v>
      </c>
    </row>
    <row r="92" spans="1:17" x14ac:dyDescent="0.25">
      <c r="A92" s="16">
        <v>89</v>
      </c>
      <c r="B92" s="16">
        <v>2324297</v>
      </c>
      <c r="C92" s="16">
        <v>191410</v>
      </c>
      <c r="D92" s="16" t="s">
        <v>131</v>
      </c>
      <c r="E92" s="16" t="s">
        <v>114</v>
      </c>
      <c r="F92" s="16" t="s">
        <v>114</v>
      </c>
      <c r="G92" s="39">
        <v>77432895.610000014</v>
      </c>
      <c r="H92" s="40">
        <v>0</v>
      </c>
      <c r="I92" s="41">
        <v>2.1625176054810326E-3</v>
      </c>
      <c r="J92" s="32"/>
      <c r="K92" s="32"/>
      <c r="L92" s="32"/>
      <c r="M92" s="32"/>
      <c r="N92" s="32"/>
      <c r="O92" s="32" t="s">
        <v>115</v>
      </c>
      <c r="P92" s="42"/>
      <c r="Q92" s="1" t="s">
        <v>126</v>
      </c>
    </row>
    <row r="93" spans="1:17" x14ac:dyDescent="0.25">
      <c r="A93" s="16">
        <v>90</v>
      </c>
      <c r="B93" s="16">
        <v>2543756</v>
      </c>
      <c r="C93" s="16">
        <v>421185</v>
      </c>
      <c r="D93" s="16" t="s">
        <v>132</v>
      </c>
      <c r="E93" s="16" t="s">
        <v>114</v>
      </c>
      <c r="F93" s="16" t="s">
        <v>114</v>
      </c>
      <c r="G93" s="39">
        <v>69599856.460000008</v>
      </c>
      <c r="H93" s="40">
        <v>0</v>
      </c>
      <c r="I93" s="41">
        <v>0</v>
      </c>
      <c r="J93" s="32"/>
      <c r="K93" s="32"/>
      <c r="L93" s="32"/>
      <c r="M93" s="32"/>
      <c r="N93" s="32"/>
      <c r="O93" s="32" t="s">
        <v>115</v>
      </c>
      <c r="P93" s="42"/>
      <c r="Q93" s="1" t="s">
        <v>133</v>
      </c>
    </row>
    <row r="94" spans="1:17" x14ac:dyDescent="0.25">
      <c r="A94" s="16">
        <v>91</v>
      </c>
      <c r="B94" s="16">
        <v>2671309</v>
      </c>
      <c r="C94" s="16">
        <v>256864</v>
      </c>
      <c r="D94" s="16" t="s">
        <v>134</v>
      </c>
      <c r="E94" s="16" t="s">
        <v>114</v>
      </c>
      <c r="F94" s="16" t="s">
        <v>114</v>
      </c>
      <c r="G94" s="39">
        <v>112239250.66</v>
      </c>
      <c r="H94" s="40">
        <v>0</v>
      </c>
      <c r="I94" s="41">
        <v>0</v>
      </c>
      <c r="J94" s="32"/>
      <c r="K94" s="32"/>
      <c r="L94" s="32"/>
      <c r="M94" s="32"/>
      <c r="N94" s="32"/>
      <c r="O94" s="32" t="s">
        <v>115</v>
      </c>
      <c r="P94" s="42"/>
      <c r="Q94" s="1" t="s">
        <v>133</v>
      </c>
    </row>
    <row r="95" spans="1:17" x14ac:dyDescent="0.25">
      <c r="A95" s="16">
        <v>92</v>
      </c>
      <c r="B95" s="16">
        <v>2502642</v>
      </c>
      <c r="C95" s="16">
        <v>350362</v>
      </c>
      <c r="D95" s="16" t="s">
        <v>135</v>
      </c>
      <c r="E95" s="16" t="s">
        <v>114</v>
      </c>
      <c r="F95" s="16" t="s">
        <v>114</v>
      </c>
      <c r="G95" s="39">
        <v>44112248.229999997</v>
      </c>
      <c r="H95" s="40">
        <v>0</v>
      </c>
      <c r="I95" s="41">
        <v>0</v>
      </c>
      <c r="J95" s="32"/>
      <c r="K95" s="32"/>
      <c r="L95" s="32"/>
      <c r="M95" s="32"/>
      <c r="N95" s="32"/>
      <c r="O95" s="32" t="s">
        <v>115</v>
      </c>
      <c r="P95" s="42"/>
      <c r="Q95" s="1" t="s">
        <v>133</v>
      </c>
    </row>
    <row r="96" spans="1:17" x14ac:dyDescent="0.25">
      <c r="A96" s="36"/>
      <c r="B96" s="36"/>
      <c r="C96" s="36"/>
      <c r="D96" s="36"/>
      <c r="E96" s="36"/>
      <c r="F96" s="36"/>
      <c r="H96" s="37"/>
      <c r="I96" s="38"/>
    </row>
    <row r="97" spans="1:15" x14ac:dyDescent="0.25">
      <c r="A97" s="36"/>
      <c r="B97" s="36"/>
      <c r="C97" s="36"/>
      <c r="D97" s="36"/>
      <c r="E97" s="36"/>
      <c r="F97" s="36"/>
      <c r="H97" s="37"/>
      <c r="I97" s="38"/>
    </row>
    <row r="98" spans="1:15" x14ac:dyDescent="0.25">
      <c r="A98" s="36"/>
      <c r="B98" s="36"/>
      <c r="C98" s="36"/>
      <c r="D98" s="36"/>
      <c r="E98" s="36"/>
      <c r="F98" s="36"/>
      <c r="H98" s="37"/>
      <c r="I98" s="38"/>
    </row>
    <row r="99" spans="1:15" x14ac:dyDescent="0.25">
      <c r="D99" s="43"/>
    </row>
    <row r="100" spans="1:15" x14ac:dyDescent="0.25">
      <c r="A100" s="34"/>
      <c r="D100" s="43"/>
    </row>
    <row r="101" spans="1:15" x14ac:dyDescent="0.25">
      <c r="D101" s="43"/>
    </row>
    <row r="102" spans="1:15" x14ac:dyDescent="0.25">
      <c r="D102" s="33"/>
      <c r="G102" s="33"/>
      <c r="H102" s="33"/>
      <c r="I102" s="33"/>
      <c r="J102" s="33"/>
      <c r="K102" s="33"/>
      <c r="L102" s="33"/>
      <c r="M102" s="33"/>
      <c r="N102" s="33"/>
      <c r="O102" s="33"/>
    </row>
    <row r="103" spans="1:15" x14ac:dyDescent="0.25">
      <c r="D103" s="33"/>
      <c r="G103" s="33"/>
      <c r="H103" s="33"/>
      <c r="I103" s="33"/>
      <c r="J103" s="33"/>
      <c r="K103" s="33"/>
      <c r="L103" s="33"/>
      <c r="M103" s="33"/>
      <c r="N103" s="33"/>
      <c r="O103" s="33"/>
    </row>
    <row r="104" spans="1:15" x14ac:dyDescent="0.25">
      <c r="D104" s="33"/>
      <c r="G104" s="33"/>
      <c r="H104" s="33"/>
      <c r="I104" s="33"/>
      <c r="J104" s="33"/>
      <c r="K104" s="33"/>
      <c r="L104" s="33"/>
      <c r="M104" s="33"/>
      <c r="N104" s="33"/>
      <c r="O104" s="33"/>
    </row>
    <row r="105" spans="1:15" x14ac:dyDescent="0.25">
      <c r="D105" s="33"/>
      <c r="G105" s="33"/>
      <c r="H105" s="33"/>
      <c r="I105" s="33"/>
      <c r="J105" s="33"/>
      <c r="K105" s="33"/>
      <c r="L105" s="33"/>
      <c r="M105" s="33"/>
      <c r="N105" s="33"/>
      <c r="O105" s="33"/>
    </row>
    <row r="106" spans="1:15" x14ac:dyDescent="0.25">
      <c r="D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</row>
    <row r="107" spans="1:15" x14ac:dyDescent="0.25">
      <c r="D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</row>
    <row r="108" spans="1:15" x14ac:dyDescent="0.25">
      <c r="D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</row>
    <row r="109" spans="1:15" x14ac:dyDescent="0.25">
      <c r="D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</row>
    <row r="110" spans="1:15" x14ac:dyDescent="0.25">
      <c r="D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</row>
    <row r="111" spans="1:15" x14ac:dyDescent="0.25">
      <c r="D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</row>
    <row r="112" spans="1:15" x14ac:dyDescent="0.25">
      <c r="D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</row>
    <row r="113" spans="4:15" x14ac:dyDescent="0.25">
      <c r="D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</row>
    <row r="114" spans="4:15" x14ac:dyDescent="0.25">
      <c r="D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</row>
    <row r="115" spans="4:15" x14ac:dyDescent="0.25">
      <c r="D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</row>
    <row r="116" spans="4:15" x14ac:dyDescent="0.25">
      <c r="F116" s="33"/>
      <c r="G116" s="33"/>
      <c r="H116" s="33"/>
      <c r="I116" s="33"/>
      <c r="J116" s="33"/>
      <c r="K116" s="33"/>
      <c r="L116" s="33"/>
      <c r="M116" s="33"/>
      <c r="N116" s="33"/>
      <c r="O116" s="33"/>
    </row>
    <row r="117" spans="4:15" x14ac:dyDescent="0.25">
      <c r="F117" s="33"/>
      <c r="G117" s="33"/>
      <c r="H117" s="33"/>
      <c r="I117" s="33"/>
      <c r="J117" s="33"/>
      <c r="K117" s="33"/>
      <c r="L117" s="33"/>
      <c r="M117" s="33"/>
      <c r="N117" s="33"/>
      <c r="O117" s="33"/>
    </row>
    <row r="118" spans="4:15" x14ac:dyDescent="0.25">
      <c r="F118" s="33"/>
      <c r="G118" s="33"/>
      <c r="H118" s="33"/>
      <c r="I118" s="33"/>
      <c r="J118" s="33"/>
      <c r="K118" s="33"/>
      <c r="L118" s="33"/>
      <c r="M118" s="33"/>
      <c r="N118" s="33"/>
      <c r="O118" s="33"/>
    </row>
    <row r="119" spans="4:15" x14ac:dyDescent="0.25">
      <c r="F119" s="33"/>
      <c r="G119" s="33"/>
      <c r="H119" s="33"/>
      <c r="I119" s="33"/>
      <c r="J119" s="33"/>
      <c r="K119" s="33"/>
      <c r="L119" s="33"/>
      <c r="M119" s="33"/>
      <c r="N119" s="33"/>
      <c r="O119" s="33"/>
    </row>
    <row r="120" spans="4:15" x14ac:dyDescent="0.25">
      <c r="F120" s="33"/>
      <c r="G120" s="33"/>
      <c r="H120" s="33"/>
      <c r="I120" s="33"/>
      <c r="J120" s="33"/>
      <c r="K120" s="33"/>
      <c r="L120" s="33"/>
      <c r="M120" s="33"/>
      <c r="N120" s="33"/>
      <c r="O120" s="33"/>
    </row>
    <row r="121" spans="4:15" x14ac:dyDescent="0.25">
      <c r="G121" s="33"/>
      <c r="H121" s="33"/>
      <c r="I121" s="33"/>
      <c r="J121" s="33"/>
      <c r="K121" s="33"/>
      <c r="L121" s="33"/>
      <c r="M121" s="33"/>
      <c r="N121" s="33"/>
      <c r="O121" s="33"/>
    </row>
    <row r="122" spans="4:15" x14ac:dyDescent="0.25">
      <c r="G122" s="33"/>
      <c r="H122" s="33"/>
      <c r="I122" s="33"/>
      <c r="J122" s="33"/>
      <c r="K122" s="33"/>
      <c r="L122" s="33"/>
      <c r="M122" s="33"/>
      <c r="N122" s="33"/>
      <c r="O122" s="33"/>
    </row>
    <row r="123" spans="4:15" x14ac:dyDescent="0.25">
      <c r="G123" s="33"/>
      <c r="H123" s="33"/>
      <c r="I123" s="33"/>
      <c r="J123" s="33"/>
      <c r="K123" s="33"/>
      <c r="L123" s="33"/>
      <c r="M123" s="33"/>
      <c r="N123" s="33"/>
      <c r="O123" s="33"/>
    </row>
    <row r="124" spans="4:15" x14ac:dyDescent="0.25">
      <c r="G124" s="33"/>
      <c r="H124" s="33"/>
      <c r="I124" s="33"/>
      <c r="J124" s="33"/>
      <c r="K124" s="33"/>
      <c r="L124" s="33"/>
      <c r="M124" s="33"/>
      <c r="N124" s="33"/>
      <c r="O124" s="33"/>
    </row>
    <row r="125" spans="4:15" x14ac:dyDescent="0.25">
      <c r="G125" s="33"/>
      <c r="H125" s="33"/>
      <c r="I125" s="33"/>
      <c r="J125" s="33"/>
      <c r="K125" s="33"/>
      <c r="L125" s="33"/>
      <c r="M125" s="33"/>
      <c r="N125" s="33"/>
      <c r="O125" s="33"/>
    </row>
    <row r="126" spans="4:15" x14ac:dyDescent="0.25">
      <c r="G126" s="33"/>
      <c r="H126" s="33"/>
      <c r="I126" s="33"/>
      <c r="J126" s="33"/>
      <c r="K126" s="33"/>
      <c r="L126" s="33"/>
      <c r="M126" s="33"/>
      <c r="N126" s="33"/>
      <c r="O126" s="33"/>
    </row>
  </sheetData>
  <autoFilter ref="A3:P78" xr:uid="{90517ACD-933C-4BFA-982E-998F5B7F1147}"/>
  <mergeCells count="1">
    <mergeCell ref="A1:P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E1EF-C5E1-C54B-82CC-FC9CFB6E2351}">
  <dimension ref="A1:H122"/>
  <sheetViews>
    <sheetView zoomScale="85" zoomScaleNormal="85" workbookViewId="0">
      <pane ySplit="3" topLeftCell="A4" activePane="bottomLeft" state="frozen"/>
      <selection pane="bottomLeft" activeCell="D24" sqref="D24"/>
    </sheetView>
  </sheetViews>
  <sheetFormatPr baseColWidth="10" defaultColWidth="9.140625" defaultRowHeight="12.75" customHeight="1" x14ac:dyDescent="0.25"/>
  <cols>
    <col min="1" max="1" width="8.42578125" style="1" bestFit="1" customWidth="1"/>
    <col min="2" max="3" width="10.7109375" style="1" customWidth="1"/>
    <col min="4" max="4" width="40.42578125" style="1" customWidth="1"/>
    <col min="5" max="5" width="30.7109375" style="1" customWidth="1"/>
    <col min="6" max="6" width="14.5703125" style="1" customWidth="1"/>
    <col min="7" max="7" width="17.140625" style="9" customWidth="1"/>
    <col min="8" max="8" width="15.7109375" style="9" customWidth="1"/>
    <col min="9" max="16384" width="9.140625" style="1"/>
  </cols>
  <sheetData>
    <row r="1" spans="1:8" ht="30" customHeight="1" x14ac:dyDescent="0.25">
      <c r="A1" s="65" t="s">
        <v>136</v>
      </c>
      <c r="B1" s="66"/>
      <c r="C1" s="66"/>
      <c r="D1" s="66"/>
      <c r="E1" s="66"/>
      <c r="F1" s="66"/>
      <c r="G1" s="66"/>
      <c r="H1" s="66"/>
    </row>
    <row r="2" spans="1:8" ht="31.15" customHeight="1" x14ac:dyDescent="0.25">
      <c r="A2" s="1" t="s">
        <v>137</v>
      </c>
    </row>
    <row r="3" spans="1:8" s="55" customFormat="1" ht="57.6" customHeight="1" x14ac:dyDescent="0.25">
      <c r="A3" s="52" t="str">
        <f>[1]anexo!A2</f>
        <v>N°</v>
      </c>
      <c r="B3" s="52" t="str">
        <f>[1]anexo!B2</f>
        <v>CUI</v>
      </c>
      <c r="C3" s="52" t="str">
        <f>[1]anexo!C2</f>
        <v>Código Local</v>
      </c>
      <c r="D3" s="52" t="str">
        <f>[1]anexo!D2</f>
        <v>Nombre del PEIP</v>
      </c>
      <c r="E3" s="52" t="str">
        <f>[1]anexo!E2</f>
        <v>Tipo de sistema modular</v>
      </c>
      <c r="F3" s="53" t="str">
        <f>[1]anexo!F2</f>
        <v>Cantidad de módulos PEIP</v>
      </c>
      <c r="G3" s="53" t="str">
        <f>[1]anexo!G2</f>
        <v>Cantidad de módulos PRONIED</v>
      </c>
      <c r="H3" s="54" t="str">
        <f>[1]anexo!J2</f>
        <v>Año de instalación de los módulos</v>
      </c>
    </row>
    <row r="4" spans="1:8" s="47" customFormat="1" x14ac:dyDescent="0.25">
      <c r="A4" s="57">
        <f>[1]anexo!A3</f>
        <v>1</v>
      </c>
      <c r="B4" s="57">
        <f>[1]anexo!B3</f>
        <v>2455491</v>
      </c>
      <c r="C4" s="57">
        <f>[1]anexo!C3</f>
        <v>311224</v>
      </c>
      <c r="D4" s="57" t="str">
        <f>[1]anexo!D3</f>
        <v>JORGE BASADRE GROHMANN</v>
      </c>
      <c r="E4" s="57" t="str">
        <f>[1]anexo!E3</f>
        <v>PREFABRICADO</v>
      </c>
      <c r="F4" s="57">
        <f>[1]anexo!F3</f>
        <v>21</v>
      </c>
      <c r="G4" s="57">
        <f>[1]anexo!G3</f>
        <v>0</v>
      </c>
      <c r="H4" s="56">
        <f>[1]anexo!J3</f>
        <v>44995</v>
      </c>
    </row>
    <row r="5" spans="1:8" s="47" customFormat="1" x14ac:dyDescent="0.25">
      <c r="A5" s="57">
        <f>[1]anexo!A4</f>
        <v>2</v>
      </c>
      <c r="B5" s="57">
        <f>[1]anexo!B4</f>
        <v>2488285</v>
      </c>
      <c r="C5" s="57">
        <f>[1]anexo!C4</f>
        <v>301913</v>
      </c>
      <c r="D5" s="57" t="str">
        <f>[1]anexo!D4</f>
        <v>SAN FELIPE</v>
      </c>
      <c r="E5" s="57" t="str">
        <f>[1]anexo!E4</f>
        <v>PREFABRICADO</v>
      </c>
      <c r="F5" s="57">
        <f>[1]anexo!F4</f>
        <v>13</v>
      </c>
      <c r="G5" s="57">
        <f>[1]anexo!G4</f>
        <v>0</v>
      </c>
      <c r="H5" s="56">
        <f>[1]anexo!J4</f>
        <v>44987</v>
      </c>
    </row>
    <row r="6" spans="1:8" s="47" customFormat="1" x14ac:dyDescent="0.25">
      <c r="A6" s="57">
        <f>[1]anexo!A5</f>
        <v>3</v>
      </c>
      <c r="B6" s="57">
        <f>[1]anexo!B5</f>
        <v>2488285</v>
      </c>
      <c r="C6" s="57">
        <f>[1]anexo!C5</f>
        <v>301913</v>
      </c>
      <c r="D6" s="57" t="str">
        <f>[1]anexo!D5</f>
        <v>SAN FELIPE</v>
      </c>
      <c r="E6" s="57" t="str">
        <f>[1]anexo!E5</f>
        <v>PREFABRICADO</v>
      </c>
      <c r="F6" s="57">
        <f>[1]anexo!F5</f>
        <v>17</v>
      </c>
      <c r="G6" s="57">
        <f>[1]anexo!G5</f>
        <v>0</v>
      </c>
      <c r="H6" s="56">
        <f>[1]anexo!J5</f>
        <v>44987</v>
      </c>
    </row>
    <row r="7" spans="1:8" s="47" customFormat="1" x14ac:dyDescent="0.25">
      <c r="A7" s="57">
        <f>[1]anexo!A6</f>
        <v>4</v>
      </c>
      <c r="B7" s="57">
        <f>[1]anexo!B6</f>
        <v>2475493</v>
      </c>
      <c r="C7" s="57">
        <f>[1]anexo!C6</f>
        <v>304860</v>
      </c>
      <c r="D7" s="57" t="str">
        <f>[1]anexo!D6</f>
        <v>0085 JOSE DE LA TORRE UGARTE</v>
      </c>
      <c r="E7" s="57" t="str">
        <f>[1]anexo!E6</f>
        <v>PREFABRICADO</v>
      </c>
      <c r="F7" s="57">
        <f>[1]anexo!F6</f>
        <v>3</v>
      </c>
      <c r="G7" s="57">
        <f>[1]anexo!G6</f>
        <v>0</v>
      </c>
      <c r="H7" s="56">
        <f>[1]anexo!J6</f>
        <v>44986</v>
      </c>
    </row>
    <row r="8" spans="1:8" s="47" customFormat="1" x14ac:dyDescent="0.25">
      <c r="A8" s="57">
        <f>[1]anexo!A7</f>
        <v>5</v>
      </c>
      <c r="B8" s="57">
        <f>[1]anexo!B7</f>
        <v>2465303</v>
      </c>
      <c r="C8" s="57">
        <f>[1]anexo!C7</f>
        <v>288054</v>
      </c>
      <c r="D8" s="57" t="str">
        <f>[1]anexo!D7</f>
        <v>0035 NUESTRA SEÑORA DE LA VISITACION</v>
      </c>
      <c r="E8" s="57" t="str">
        <f>[1]anexo!E7</f>
        <v>PREFABRICADO</v>
      </c>
      <c r="F8" s="57">
        <f>[1]anexo!F7</f>
        <v>0</v>
      </c>
      <c r="G8" s="57">
        <f>[1]anexo!G7</f>
        <v>0</v>
      </c>
      <c r="H8" s="56">
        <f>[1]anexo!J7</f>
        <v>44979</v>
      </c>
    </row>
    <row r="9" spans="1:8" s="47" customFormat="1" x14ac:dyDescent="0.25">
      <c r="A9" s="57">
        <f>[1]anexo!A8</f>
        <v>6</v>
      </c>
      <c r="B9" s="57">
        <f>[1]anexo!B8</f>
        <v>2459062</v>
      </c>
      <c r="C9" s="57">
        <f>[1]anexo!C8</f>
        <v>333099</v>
      </c>
      <c r="D9" s="57">
        <f>[1]anexo!D8</f>
        <v>2028</v>
      </c>
      <c r="E9" s="57" t="str">
        <f>[1]anexo!E8</f>
        <v>PREFABRICADO</v>
      </c>
      <c r="F9" s="57">
        <f>[1]anexo!F8</f>
        <v>31</v>
      </c>
      <c r="G9" s="57">
        <f>[1]anexo!G8</f>
        <v>0</v>
      </c>
      <c r="H9" s="56">
        <f>[1]anexo!J8</f>
        <v>45261</v>
      </c>
    </row>
    <row r="10" spans="1:8" s="47" customFormat="1" x14ac:dyDescent="0.25">
      <c r="A10" s="57">
        <f>[1]anexo!A9</f>
        <v>7</v>
      </c>
      <c r="B10" s="57">
        <f>[1]anexo!B9</f>
        <v>2481404</v>
      </c>
      <c r="C10" s="57">
        <f>[1]anexo!C9</f>
        <v>305671</v>
      </c>
      <c r="D10" s="57" t="str">
        <f>[1]anexo!D9</f>
        <v>09 Y 3094-1 - J. WILLIAM FULBRIGHT</v>
      </c>
      <c r="E10" s="57" t="str">
        <f>[1]anexo!E9</f>
        <v>PREFABRICADO</v>
      </c>
      <c r="F10" s="57">
        <f>[1]anexo!F9</f>
        <v>14</v>
      </c>
      <c r="G10" s="57">
        <f>[1]anexo!G9</f>
        <v>0</v>
      </c>
      <c r="H10" s="56">
        <f>[1]anexo!J9</f>
        <v>45334</v>
      </c>
    </row>
    <row r="11" spans="1:8" s="47" customFormat="1" x14ac:dyDescent="0.25">
      <c r="A11" s="57">
        <f>[1]anexo!A10</f>
        <v>8</v>
      </c>
      <c r="B11" s="57">
        <f>[1]anexo!B10</f>
        <v>2468424</v>
      </c>
      <c r="C11" s="57">
        <f>[1]anexo!C10</f>
        <v>305911</v>
      </c>
      <c r="D11" s="57" t="str">
        <f>[1]anexo!D10</f>
        <v>3048 - SANTIAGO ANTÚNEZ DE MAYOLO</v>
      </c>
      <c r="E11" s="57" t="str">
        <f>[1]anexo!E10</f>
        <v>PREFABRICADO</v>
      </c>
      <c r="F11" s="57">
        <f>[1]anexo!F10</f>
        <v>1</v>
      </c>
      <c r="G11" s="57">
        <f>[1]anexo!G10</f>
        <v>0</v>
      </c>
      <c r="H11" s="56">
        <f>[1]anexo!J10</f>
        <v>45299</v>
      </c>
    </row>
    <row r="12" spans="1:8" s="47" customFormat="1" x14ac:dyDescent="0.25">
      <c r="A12" s="57">
        <f>[1]anexo!A11</f>
        <v>9</v>
      </c>
      <c r="B12" s="57">
        <f>[1]anexo!B11</f>
        <v>2468424</v>
      </c>
      <c r="C12" s="57">
        <f>[1]anexo!C11</f>
        <v>305911</v>
      </c>
      <c r="D12" s="57" t="str">
        <f>[1]anexo!D11</f>
        <v>3048 - SANTIAGO ANTÚNEZ DE MAYOLO</v>
      </c>
      <c r="E12" s="57" t="str">
        <f>[1]anexo!E11</f>
        <v>PREFABRICADO</v>
      </c>
      <c r="F12" s="57">
        <f>[1]anexo!F11</f>
        <v>16</v>
      </c>
      <c r="G12" s="57">
        <f>[1]anexo!G11</f>
        <v>9</v>
      </c>
      <c r="H12" s="56">
        <f>[1]anexo!J11</f>
        <v>45299</v>
      </c>
    </row>
    <row r="13" spans="1:8" s="47" customFormat="1" x14ac:dyDescent="0.25">
      <c r="A13" s="57">
        <f>[1]anexo!A12</f>
        <v>10</v>
      </c>
      <c r="B13" s="57">
        <f>[1]anexo!B12</f>
        <v>2468424</v>
      </c>
      <c r="C13" s="57">
        <f>[1]anexo!C12</f>
        <v>305911</v>
      </c>
      <c r="D13" s="57" t="str">
        <f>[1]anexo!D12</f>
        <v>3048 - SANTIAGO ANTÚNEZ DE MAYOLO</v>
      </c>
      <c r="E13" s="57" t="str">
        <f>[1]anexo!E12</f>
        <v>PREFABRICADO</v>
      </c>
      <c r="F13" s="57">
        <f>[1]anexo!F12</f>
        <v>0</v>
      </c>
      <c r="G13" s="57">
        <f>[1]anexo!G12</f>
        <v>2</v>
      </c>
      <c r="H13" s="56">
        <f>[1]anexo!J12</f>
        <v>45299</v>
      </c>
    </row>
    <row r="14" spans="1:8" s="47" customFormat="1" x14ac:dyDescent="0.25">
      <c r="A14" s="57">
        <f>[1]anexo!A13</f>
        <v>11</v>
      </c>
      <c r="B14" s="57">
        <f>[1]anexo!B13</f>
        <v>2466948</v>
      </c>
      <c r="C14" s="57">
        <f>[1]anexo!C13</f>
        <v>311040</v>
      </c>
      <c r="D14" s="57" t="str">
        <f>[1]anexo!D13</f>
        <v>2096  PERÚ  JAPÓN</v>
      </c>
      <c r="E14" s="57" t="str">
        <f>[1]anexo!E13</f>
        <v>PREFABRICADO</v>
      </c>
      <c r="F14" s="57">
        <f>[1]anexo!F13</f>
        <v>23</v>
      </c>
      <c r="G14" s="57">
        <f>[1]anexo!G13</f>
        <v>0</v>
      </c>
      <c r="H14" s="56">
        <f>[1]anexo!J13</f>
        <v>45259</v>
      </c>
    </row>
    <row r="15" spans="1:8" s="47" customFormat="1" x14ac:dyDescent="0.25">
      <c r="A15" s="57">
        <f>[1]anexo!A14</f>
        <v>12</v>
      </c>
      <c r="B15" s="57">
        <f>[1]anexo!B14</f>
        <v>2475458</v>
      </c>
      <c r="C15" s="57">
        <f>[1]anexo!C14</f>
        <v>333103</v>
      </c>
      <c r="D15" s="57" t="str">
        <f>[1]anexo!D14</f>
        <v>2029 - SIMÓN BOLÍVAR</v>
      </c>
      <c r="E15" s="57" t="str">
        <f>[1]anexo!E14</f>
        <v>PREFABRICADO</v>
      </c>
      <c r="F15" s="57">
        <f>[1]anexo!F14</f>
        <v>25</v>
      </c>
      <c r="G15" s="57">
        <f>[1]anexo!G14</f>
        <v>0</v>
      </c>
      <c r="H15" s="56">
        <f>[1]anexo!J14</f>
        <v>45264</v>
      </c>
    </row>
    <row r="16" spans="1:8" s="47" customFormat="1" x14ac:dyDescent="0.25">
      <c r="A16" s="57">
        <f>[1]anexo!A15</f>
        <v>13</v>
      </c>
      <c r="B16" s="57">
        <f>[1]anexo!B15</f>
        <v>2481404</v>
      </c>
      <c r="C16" s="57">
        <f>[1]anexo!C15</f>
        <v>305671</v>
      </c>
      <c r="D16" s="57" t="str">
        <f>[1]anexo!D15</f>
        <v>09 Y 3094-1 - J. WILLIAM FULBRIGHT</v>
      </c>
      <c r="E16" s="57" t="str">
        <f>[1]anexo!E15</f>
        <v>PREFABRICADO</v>
      </c>
      <c r="F16" s="57">
        <f>[1]anexo!F15</f>
        <v>19</v>
      </c>
      <c r="G16" s="57">
        <f>[1]anexo!G15</f>
        <v>4</v>
      </c>
      <c r="H16" s="56">
        <f>[1]anexo!J15</f>
        <v>45334</v>
      </c>
    </row>
    <row r="17" spans="1:8" s="47" customFormat="1" x14ac:dyDescent="0.25">
      <c r="A17" s="57">
        <f>[1]anexo!A16</f>
        <v>14</v>
      </c>
      <c r="B17" s="57">
        <f>[1]anexo!B16</f>
        <v>2475363</v>
      </c>
      <c r="C17" s="57">
        <f>[1]anexo!C16</f>
        <v>305925</v>
      </c>
      <c r="D17" s="57" t="str">
        <f>[1]anexo!D16</f>
        <v>3049 - IMPERIO DEL TAHUANTINSUYO</v>
      </c>
      <c r="E17" s="57" t="str">
        <f>[1]anexo!E16</f>
        <v>PREFABRICADO</v>
      </c>
      <c r="F17" s="57">
        <f>[1]anexo!F16</f>
        <v>43</v>
      </c>
      <c r="G17" s="57">
        <f>[1]anexo!G16</f>
        <v>0</v>
      </c>
      <c r="H17" s="56">
        <f>[1]anexo!J16</f>
        <v>45329</v>
      </c>
    </row>
    <row r="18" spans="1:8" s="47" customFormat="1" x14ac:dyDescent="0.25">
      <c r="A18" s="57">
        <f>[1]anexo!A17</f>
        <v>15</v>
      </c>
      <c r="B18" s="57">
        <f>[1]anexo!B17</f>
        <v>2489056</v>
      </c>
      <c r="C18" s="57">
        <f>[1]anexo!C17</f>
        <v>142561</v>
      </c>
      <c r="D18" s="57" t="str">
        <f>[1]anexo!D17</f>
        <v>GENERAL PRADO</v>
      </c>
      <c r="E18" s="57" t="str">
        <f>[1]anexo!E17</f>
        <v>PREFABRICADO</v>
      </c>
      <c r="F18" s="57">
        <f>[1]anexo!F17</f>
        <v>41</v>
      </c>
      <c r="G18" s="57">
        <f>[1]anexo!G17</f>
        <v>0</v>
      </c>
      <c r="H18" s="56">
        <f>[1]anexo!J17</f>
        <v>45257</v>
      </c>
    </row>
    <row r="19" spans="1:8" s="47" customFormat="1" x14ac:dyDescent="0.25">
      <c r="A19" s="57">
        <f>[1]anexo!A18</f>
        <v>16</v>
      </c>
      <c r="B19" s="57">
        <f>[1]anexo!B18</f>
        <v>2433311</v>
      </c>
      <c r="C19" s="57">
        <f>[1]anexo!C18</f>
        <v>296803</v>
      </c>
      <c r="D19" s="57" t="str">
        <f>[1]anexo!D18</f>
        <v>3058 VIRGEN DE FATIMA</v>
      </c>
      <c r="E19" s="57" t="str">
        <f>[1]anexo!E18</f>
        <v>PREFABRICADO</v>
      </c>
      <c r="F19" s="57">
        <f>[1]anexo!F18</f>
        <v>15</v>
      </c>
      <c r="G19" s="57">
        <f>[1]anexo!G18</f>
        <v>0</v>
      </c>
      <c r="H19" s="56">
        <f>[1]anexo!J18</f>
        <v>45313</v>
      </c>
    </row>
    <row r="20" spans="1:8" s="47" customFormat="1" x14ac:dyDescent="0.25">
      <c r="A20" s="57">
        <f>[1]anexo!A19</f>
        <v>17</v>
      </c>
      <c r="B20" s="57">
        <f>[1]anexo!B19</f>
        <v>2471211</v>
      </c>
      <c r="C20" s="57">
        <f>[1]anexo!C19</f>
        <v>296676</v>
      </c>
      <c r="D20" s="57">
        <f>[1]anexo!D19</f>
        <v>2051</v>
      </c>
      <c r="E20" s="57" t="str">
        <f>[1]anexo!E19</f>
        <v>PREFABRICADO</v>
      </c>
      <c r="F20" s="57">
        <f>[1]anexo!F19</f>
        <v>16</v>
      </c>
      <c r="G20" s="57">
        <f>[1]anexo!G19</f>
        <v>1</v>
      </c>
      <c r="H20" s="56">
        <f>[1]anexo!J19</f>
        <v>45260</v>
      </c>
    </row>
    <row r="21" spans="1:8" s="47" customFormat="1" x14ac:dyDescent="0.25">
      <c r="A21" s="57">
        <f>[1]anexo!A20</f>
        <v>18</v>
      </c>
      <c r="B21" s="57">
        <f>[1]anexo!B20</f>
        <v>2475546</v>
      </c>
      <c r="C21" s="57">
        <f>[1]anexo!C20</f>
        <v>301437</v>
      </c>
      <c r="D21" s="57" t="str">
        <f>[1]anexo!D20</f>
        <v>2100 JUAN VELASCO ALVARADO</v>
      </c>
      <c r="E21" s="57" t="str">
        <f>[1]anexo!E20</f>
        <v>PREFABRICADO</v>
      </c>
      <c r="F21" s="57">
        <f>[1]anexo!F20</f>
        <v>20</v>
      </c>
      <c r="G21" s="57">
        <f>[1]anexo!G20</f>
        <v>0</v>
      </c>
      <c r="H21" s="56">
        <f>[1]anexo!J20</f>
        <v>45250</v>
      </c>
    </row>
    <row r="22" spans="1:8" s="47" customFormat="1" x14ac:dyDescent="0.25">
      <c r="A22" s="57">
        <f>[1]anexo!A21</f>
        <v>19</v>
      </c>
      <c r="B22" s="57">
        <f>[1]anexo!B21</f>
        <v>2457231</v>
      </c>
      <c r="C22" s="57">
        <f>[1]anexo!C21</f>
        <v>301753</v>
      </c>
      <c r="D22" s="57" t="str">
        <f>[1]anexo!D21</f>
        <v>3065 VIRGEN DEL CARMEN</v>
      </c>
      <c r="E22" s="57" t="str">
        <f>[1]anexo!E21</f>
        <v>PREFABRICADO</v>
      </c>
      <c r="F22" s="57">
        <f>[1]anexo!F21</f>
        <v>23</v>
      </c>
      <c r="G22" s="57">
        <f>[1]anexo!G21</f>
        <v>0</v>
      </c>
      <c r="H22" s="56">
        <f>[1]anexo!J21</f>
        <v>45329</v>
      </c>
    </row>
    <row r="23" spans="1:8" s="47" customFormat="1" x14ac:dyDescent="0.25">
      <c r="A23" s="57">
        <f>[1]anexo!A22</f>
        <v>20</v>
      </c>
      <c r="B23" s="57">
        <f>[1]anexo!B22</f>
        <v>2475484</v>
      </c>
      <c r="C23" s="57">
        <f>[1]anexo!C22</f>
        <v>297077</v>
      </c>
      <c r="D23" s="57" t="str">
        <f>[1]anexo!D22</f>
        <v xml:space="preserve"> 8184 SAN BENITO</v>
      </c>
      <c r="E23" s="57" t="str">
        <f>[1]anexo!E22</f>
        <v>PREFABRICADO</v>
      </c>
      <c r="F23" s="57">
        <f>[1]anexo!F22</f>
        <v>22</v>
      </c>
      <c r="G23" s="57">
        <f>[1]anexo!G22</f>
        <v>0</v>
      </c>
      <c r="H23" s="56">
        <f>[1]anexo!J22</f>
        <v>45302</v>
      </c>
    </row>
    <row r="24" spans="1:8" s="47" customFormat="1" x14ac:dyDescent="0.25">
      <c r="A24" s="57">
        <f>[1]anexo!A23</f>
        <v>21</v>
      </c>
      <c r="B24" s="57">
        <f>[1]anexo!B23</f>
        <v>2475360</v>
      </c>
      <c r="C24" s="57">
        <f>[1]anexo!C23</f>
        <v>319140</v>
      </c>
      <c r="D24" s="57" t="str">
        <f>[1]anexo!D23</f>
        <v xml:space="preserve"> 3088 VISTA ALEGRE</v>
      </c>
      <c r="E24" s="57" t="str">
        <f>[1]anexo!E23</f>
        <v>PREFABRICADO</v>
      </c>
      <c r="F24" s="57">
        <f>[1]anexo!F23</f>
        <v>16</v>
      </c>
      <c r="G24" s="57">
        <f>[1]anexo!G23</f>
        <v>14</v>
      </c>
      <c r="H24" s="56">
        <f>[1]anexo!J23</f>
        <v>45296</v>
      </c>
    </row>
    <row r="25" spans="1:8" s="47" customFormat="1" x14ac:dyDescent="0.25">
      <c r="A25" s="57">
        <f>[1]anexo!A24</f>
        <v>22</v>
      </c>
      <c r="B25" s="57">
        <f>[1]anexo!B24</f>
        <v>2485504</v>
      </c>
      <c r="C25" s="57">
        <f>[1]anexo!C24</f>
        <v>313732</v>
      </c>
      <c r="D25" s="57" t="str">
        <f>[1]anexo!D24</f>
        <v xml:space="preserve"> 1190 FELIPE HUAMAN POMA DE AYALA</v>
      </c>
      <c r="E25" s="57" t="str">
        <f>[1]anexo!E24</f>
        <v>PREFABRICADO</v>
      </c>
      <c r="F25" s="57">
        <f>[1]anexo!F24</f>
        <v>31</v>
      </c>
      <c r="G25" s="57">
        <f>[1]anexo!G24</f>
        <v>4</v>
      </c>
      <c r="H25" s="56">
        <f>[1]anexo!J24</f>
        <v>45250</v>
      </c>
    </row>
    <row r="26" spans="1:8" s="47" customFormat="1" x14ac:dyDescent="0.25">
      <c r="A26" s="57">
        <f>[1]anexo!A25</f>
        <v>23</v>
      </c>
      <c r="B26" s="57">
        <f>[1]anexo!B25</f>
        <v>2482573</v>
      </c>
      <c r="C26" s="57">
        <f>[1]anexo!C25</f>
        <v>324962</v>
      </c>
      <c r="D26" s="57" t="str">
        <f>[1]anexo!D25</f>
        <v xml:space="preserve"> 0171-01 JUAN VELASCO ALVARADO</v>
      </c>
      <c r="E26" s="57" t="str">
        <f>[1]anexo!E25</f>
        <v>PREFABRICADO</v>
      </c>
      <c r="F26" s="57">
        <f>[1]anexo!F25</f>
        <v>0</v>
      </c>
      <c r="G26" s="57">
        <f>[1]anexo!G25</f>
        <v>4</v>
      </c>
      <c r="H26" s="56">
        <f>[1]anexo!J25</f>
        <v>45345</v>
      </c>
    </row>
    <row r="27" spans="1:8" s="47" customFormat="1" x14ac:dyDescent="0.25">
      <c r="A27" s="57">
        <f>[1]anexo!A26</f>
        <v>24</v>
      </c>
      <c r="B27" s="57">
        <f>[1]anexo!B26</f>
        <v>2482573</v>
      </c>
      <c r="C27" s="57">
        <f>[1]anexo!C26</f>
        <v>324962</v>
      </c>
      <c r="D27" s="57" t="str">
        <f>[1]anexo!D26</f>
        <v xml:space="preserve"> 0171-01 JUAN VELASCO ALVARADO</v>
      </c>
      <c r="E27" s="57" t="str">
        <f>[1]anexo!E26</f>
        <v>PREFABRICADO</v>
      </c>
      <c r="F27" s="57">
        <f>[1]anexo!F26</f>
        <v>36</v>
      </c>
      <c r="G27" s="57">
        <f>[1]anexo!G26</f>
        <v>0</v>
      </c>
      <c r="H27" s="56">
        <f>[1]anexo!J26</f>
        <v>45345</v>
      </c>
    </row>
    <row r="28" spans="1:8" s="47" customFormat="1" x14ac:dyDescent="0.25">
      <c r="A28" s="57">
        <f>[1]anexo!A27</f>
        <v>25</v>
      </c>
      <c r="B28" s="57">
        <f>[1]anexo!B27</f>
        <v>2475527</v>
      </c>
      <c r="C28" s="57">
        <f>[1]anexo!C27</f>
        <v>325264</v>
      </c>
      <c r="D28" s="57" t="str">
        <f>[1]anexo!D27</f>
        <v xml:space="preserve"> FRANCISCO BOLOGNESI CERVANTES</v>
      </c>
      <c r="E28" s="57" t="str">
        <f>[1]anexo!E27</f>
        <v>PREFABRICADO</v>
      </c>
      <c r="F28" s="57">
        <f>[1]anexo!F27</f>
        <v>23</v>
      </c>
      <c r="G28" s="57">
        <f>[1]anexo!G27</f>
        <v>0</v>
      </c>
      <c r="H28" s="56">
        <f>[1]anexo!J27</f>
        <v>45344</v>
      </c>
    </row>
    <row r="29" spans="1:8" s="47" customFormat="1" x14ac:dyDescent="0.25">
      <c r="A29" s="57">
        <f>[1]anexo!A28</f>
        <v>26</v>
      </c>
      <c r="B29" s="57">
        <f>[1]anexo!B28</f>
        <v>2475527</v>
      </c>
      <c r="C29" s="57">
        <f>[1]anexo!C28</f>
        <v>325264</v>
      </c>
      <c r="D29" s="57" t="str">
        <f>[1]anexo!D28</f>
        <v xml:space="preserve"> FRANCISCO BOLOGNESI CERVANTES</v>
      </c>
      <c r="E29" s="57" t="str">
        <f>[1]anexo!E28</f>
        <v>PREFABRICADO</v>
      </c>
      <c r="F29" s="57">
        <f>[1]anexo!F28</f>
        <v>8</v>
      </c>
      <c r="G29" s="57">
        <f>[1]anexo!G28</f>
        <v>0</v>
      </c>
      <c r="H29" s="56">
        <f>[1]anexo!J28</f>
        <v>45344</v>
      </c>
    </row>
    <row r="30" spans="1:8" s="47" customFormat="1" x14ac:dyDescent="0.25">
      <c r="A30" s="57">
        <f>[1]anexo!A29</f>
        <v>27</v>
      </c>
      <c r="B30" s="57">
        <f>[1]anexo!B29</f>
        <v>2475527</v>
      </c>
      <c r="C30" s="57">
        <f>[1]anexo!C29</f>
        <v>325264</v>
      </c>
      <c r="D30" s="57" t="str">
        <f>[1]anexo!D29</f>
        <v xml:space="preserve"> FRANCISCO BOLOGNESI CERVANTES</v>
      </c>
      <c r="E30" s="57" t="str">
        <f>[1]anexo!E29</f>
        <v>PREFABRICADO</v>
      </c>
      <c r="F30" s="57">
        <f>[1]anexo!F29</f>
        <v>22</v>
      </c>
      <c r="G30" s="57">
        <f>[1]anexo!G29</f>
        <v>0</v>
      </c>
      <c r="H30" s="56">
        <f>[1]anexo!J29</f>
        <v>45344</v>
      </c>
    </row>
    <row r="31" spans="1:8" s="47" customFormat="1" x14ac:dyDescent="0.25">
      <c r="A31" s="57">
        <f>[1]anexo!A30</f>
        <v>28</v>
      </c>
      <c r="B31" s="57">
        <f>[1]anexo!B30</f>
        <v>2465785</v>
      </c>
      <c r="C31" s="57">
        <f>[1]anexo!C30</f>
        <v>324702</v>
      </c>
      <c r="D31" s="57" t="str">
        <f>[1]anexo!D30</f>
        <v xml:space="preserve"> 142 MARTIR DANL ALCIDES CARRION</v>
      </c>
      <c r="E31" s="57" t="str">
        <f>[1]anexo!E30</f>
        <v>PREFABRICADO</v>
      </c>
      <c r="F31" s="57">
        <f>[1]anexo!F30</f>
        <v>30</v>
      </c>
      <c r="G31" s="57">
        <f>[1]anexo!G30</f>
        <v>13</v>
      </c>
      <c r="H31" s="56">
        <f>[1]anexo!J30</f>
        <v>45321</v>
      </c>
    </row>
    <row r="32" spans="1:8" s="47" customFormat="1" x14ac:dyDescent="0.25">
      <c r="A32" s="57">
        <f>[1]anexo!A31</f>
        <v>29</v>
      </c>
      <c r="B32" s="57">
        <f>[1]anexo!B31</f>
        <v>2465785</v>
      </c>
      <c r="C32" s="57">
        <f>[1]anexo!C31</f>
        <v>324702</v>
      </c>
      <c r="D32" s="57" t="str">
        <f>[1]anexo!D31</f>
        <v xml:space="preserve"> 142 MARTIR DANL ALCIDES CARRION</v>
      </c>
      <c r="E32" s="57" t="str">
        <f>[1]anexo!E31</f>
        <v>PREFABRICADO</v>
      </c>
      <c r="F32" s="57">
        <f>[1]anexo!F31</f>
        <v>14</v>
      </c>
      <c r="G32" s="57">
        <f>[1]anexo!G31</f>
        <v>0</v>
      </c>
      <c r="H32" s="56">
        <f>[1]anexo!J31</f>
        <v>45321</v>
      </c>
    </row>
    <row r="33" spans="1:8" s="47" customFormat="1" x14ac:dyDescent="0.25">
      <c r="A33" s="57">
        <f>[1]anexo!A32</f>
        <v>30</v>
      </c>
      <c r="B33" s="57">
        <f>[1]anexo!B32</f>
        <v>2471292</v>
      </c>
      <c r="C33" s="57">
        <f>[1]anexo!C32</f>
        <v>324844</v>
      </c>
      <c r="D33" s="57" t="str">
        <f>[1]anexo!D32</f>
        <v xml:space="preserve"> 0159 10 DE OCTUBRE</v>
      </c>
      <c r="E33" s="57" t="str">
        <f>[1]anexo!E32</f>
        <v>PREFABRICADO</v>
      </c>
      <c r="F33" s="57">
        <f>[1]anexo!F32</f>
        <v>35</v>
      </c>
      <c r="G33" s="57">
        <f>[1]anexo!G32</f>
        <v>5</v>
      </c>
      <c r="H33" s="56">
        <f>[1]anexo!J32</f>
        <v>45289</v>
      </c>
    </row>
    <row r="34" spans="1:8" s="47" customFormat="1" x14ac:dyDescent="0.25">
      <c r="A34" s="57">
        <f>[1]anexo!A33</f>
        <v>31</v>
      </c>
      <c r="B34" s="57">
        <f>[1]anexo!B33</f>
        <v>2475512</v>
      </c>
      <c r="C34" s="57">
        <f>[1]anexo!C33</f>
        <v>325301</v>
      </c>
      <c r="D34" s="57" t="str">
        <f>[1]anexo!D33</f>
        <v xml:space="preserve"> RAMIRO PRIALE PRIALE</v>
      </c>
      <c r="E34" s="57" t="str">
        <f>[1]anexo!E33</f>
        <v>PREFABRICADO</v>
      </c>
      <c r="F34" s="57">
        <f>[1]anexo!F33</f>
        <v>19</v>
      </c>
      <c r="G34" s="57">
        <f>[1]anexo!G33</f>
        <v>0</v>
      </c>
      <c r="H34" s="56">
        <f>[1]anexo!J33</f>
        <v>45279</v>
      </c>
    </row>
    <row r="35" spans="1:8" s="47" customFormat="1" x14ac:dyDescent="0.25">
      <c r="A35" s="57">
        <f>[1]anexo!A34</f>
        <v>32</v>
      </c>
      <c r="B35" s="57">
        <f>[1]anexo!B34</f>
        <v>2485449</v>
      </c>
      <c r="C35" s="57">
        <f>[1]anexo!C34</f>
        <v>324900</v>
      </c>
      <c r="D35" s="57" t="str">
        <f>[1]anexo!D34</f>
        <v xml:space="preserve"> 166 KAROL WOJTYLA</v>
      </c>
      <c r="E35" s="57" t="str">
        <f>[1]anexo!E34</f>
        <v>PREFABRICADO</v>
      </c>
      <c r="F35" s="57">
        <f>[1]anexo!F34</f>
        <v>21</v>
      </c>
      <c r="G35" s="57">
        <f>[1]anexo!G34</f>
        <v>0</v>
      </c>
      <c r="H35" s="56">
        <f>[1]anexo!J34</f>
        <v>45321</v>
      </c>
    </row>
    <row r="36" spans="1:8" s="47" customFormat="1" x14ac:dyDescent="0.25">
      <c r="A36" s="57">
        <f>[1]anexo!A35</f>
        <v>33</v>
      </c>
      <c r="B36" s="57">
        <f>[1]anexo!B35</f>
        <v>2485449</v>
      </c>
      <c r="C36" s="57">
        <f>[1]anexo!C35</f>
        <v>324900</v>
      </c>
      <c r="D36" s="57" t="str">
        <f>[1]anexo!D35</f>
        <v xml:space="preserve"> 166 KAROL WOJTYLA</v>
      </c>
      <c r="E36" s="57" t="str">
        <f>[1]anexo!E35</f>
        <v>PREFABRICADO</v>
      </c>
      <c r="F36" s="57">
        <f>[1]anexo!F35</f>
        <v>18</v>
      </c>
      <c r="G36" s="57">
        <f>[1]anexo!G35</f>
        <v>0</v>
      </c>
      <c r="H36" s="56">
        <f>[1]anexo!J35</f>
        <v>45321</v>
      </c>
    </row>
    <row r="37" spans="1:8" s="47" customFormat="1" x14ac:dyDescent="0.25">
      <c r="A37" s="57">
        <f>[1]anexo!A36</f>
        <v>34</v>
      </c>
      <c r="B37" s="57">
        <f>[1]anexo!B36</f>
        <v>2465018</v>
      </c>
      <c r="C37" s="57">
        <f>[1]anexo!C36</f>
        <v>324622</v>
      </c>
      <c r="D37" s="57" t="str">
        <f>[1]anexo!D36</f>
        <v xml:space="preserve"> 0132 TORIBIO DE LUZURIAGA Y MEJÍA</v>
      </c>
      <c r="E37" s="57" t="str">
        <f>[1]anexo!E36</f>
        <v>PREFABRICADO</v>
      </c>
      <c r="F37" s="57">
        <f>[1]anexo!F36</f>
        <v>18</v>
      </c>
      <c r="G37" s="57">
        <f>[1]anexo!G36</f>
        <v>0</v>
      </c>
      <c r="H37" s="56">
        <f>[1]anexo!J36</f>
        <v>45348</v>
      </c>
    </row>
    <row r="38" spans="1:8" s="47" customFormat="1" x14ac:dyDescent="0.25">
      <c r="A38" s="57">
        <f>[1]anexo!A37</f>
        <v>35</v>
      </c>
      <c r="B38" s="57">
        <f>[1]anexo!B37</f>
        <v>2465018</v>
      </c>
      <c r="C38" s="57">
        <f>[1]anexo!C37</f>
        <v>324622</v>
      </c>
      <c r="D38" s="57" t="str">
        <f>[1]anexo!D37</f>
        <v xml:space="preserve"> 0132 TORIBIO DE LUZURIAGA Y MEJÍA</v>
      </c>
      <c r="E38" s="57" t="str">
        <f>[1]anexo!E37</f>
        <v>PREFABRICADO</v>
      </c>
      <c r="F38" s="57">
        <f>[1]anexo!F37</f>
        <v>15</v>
      </c>
      <c r="G38" s="57">
        <f>[1]anexo!G37</f>
        <v>0</v>
      </c>
      <c r="H38" s="56">
        <f>[1]anexo!J37</f>
        <v>45348</v>
      </c>
    </row>
    <row r="39" spans="1:8" s="47" customFormat="1" x14ac:dyDescent="0.25">
      <c r="A39" s="57">
        <f>[1]anexo!A38</f>
        <v>36</v>
      </c>
      <c r="B39" s="57">
        <f>[1]anexo!B38</f>
        <v>2465018</v>
      </c>
      <c r="C39" s="57">
        <f>[1]anexo!C38</f>
        <v>324622</v>
      </c>
      <c r="D39" s="57" t="str">
        <f>[1]anexo!D38</f>
        <v xml:space="preserve"> 0132 TORIBIO DE LUZURIAGA Y MEJÍA</v>
      </c>
      <c r="E39" s="57" t="str">
        <f>[1]anexo!E38</f>
        <v>PREFABRICADO</v>
      </c>
      <c r="F39" s="57">
        <f>[1]anexo!F38</f>
        <v>10</v>
      </c>
      <c r="G39" s="57">
        <f>[1]anexo!G38</f>
        <v>0</v>
      </c>
      <c r="H39" s="56">
        <f>[1]anexo!J38</f>
        <v>45348</v>
      </c>
    </row>
    <row r="40" spans="1:8" s="47" customFormat="1" x14ac:dyDescent="0.25">
      <c r="A40" s="57">
        <f>[1]anexo!A39</f>
        <v>37</v>
      </c>
      <c r="B40" s="57">
        <f>[1]anexo!B39</f>
        <v>2487501</v>
      </c>
      <c r="C40" s="57">
        <f>[1]anexo!C39</f>
        <v>324523</v>
      </c>
      <c r="D40" s="57" t="str">
        <f>[1]anexo!D39</f>
        <v xml:space="preserve"> 109 INCA MANCO CAPAC</v>
      </c>
      <c r="E40" s="57" t="str">
        <f>[1]anexo!E39</f>
        <v>PREFABRICADO</v>
      </c>
      <c r="F40" s="57">
        <f>[1]anexo!F39</f>
        <v>34</v>
      </c>
      <c r="G40" s="57">
        <f>[1]anexo!G39</f>
        <v>0</v>
      </c>
      <c r="H40" s="56">
        <f>[1]anexo!J39</f>
        <v>45314</v>
      </c>
    </row>
    <row r="41" spans="1:8" s="47" customFormat="1" x14ac:dyDescent="0.25">
      <c r="A41" s="57">
        <f>[1]anexo!A40</f>
        <v>38</v>
      </c>
      <c r="B41" s="57">
        <f>[1]anexo!B40</f>
        <v>2475599</v>
      </c>
      <c r="C41" s="57">
        <f>[1]anexo!C40</f>
        <v>325202</v>
      </c>
      <c r="D41" s="57" t="str">
        <f>[1]anexo!D40</f>
        <v xml:space="preserve"> 1179 TOMAS ALVA EDISON</v>
      </c>
      <c r="E41" s="57" t="str">
        <f>[1]anexo!E40</f>
        <v>PREFABRICADO</v>
      </c>
      <c r="F41" s="57">
        <f>[1]anexo!F40</f>
        <v>19</v>
      </c>
      <c r="G41" s="57">
        <f>[1]anexo!G40</f>
        <v>6</v>
      </c>
      <c r="H41" s="56">
        <f>[1]anexo!J40</f>
        <v>45341</v>
      </c>
    </row>
    <row r="42" spans="1:8" s="47" customFormat="1" x14ac:dyDescent="0.25">
      <c r="A42" s="57">
        <f>[1]anexo!A41</f>
        <v>39</v>
      </c>
      <c r="B42" s="57">
        <f>[1]anexo!B41</f>
        <v>2475306</v>
      </c>
      <c r="C42" s="57">
        <f>[1]anexo!C41</f>
        <v>324504</v>
      </c>
      <c r="D42" s="57">
        <f>[1]anexo!D41</f>
        <v>100</v>
      </c>
      <c r="E42" s="57" t="str">
        <f>[1]anexo!E41</f>
        <v>PREFABRICADO</v>
      </c>
      <c r="F42" s="57">
        <f>[1]anexo!F41</f>
        <v>7</v>
      </c>
      <c r="G42" s="57">
        <f>[1]anexo!G41</f>
        <v>24</v>
      </c>
      <c r="H42" s="56">
        <f>[1]anexo!J41</f>
        <v>45257</v>
      </c>
    </row>
    <row r="43" spans="1:8" s="47" customFormat="1" x14ac:dyDescent="0.25">
      <c r="A43" s="57">
        <f>[1]anexo!A42</f>
        <v>40</v>
      </c>
      <c r="B43" s="57">
        <f>[1]anexo!B42</f>
        <v>2481555</v>
      </c>
      <c r="C43" s="57">
        <f>[1]anexo!C42</f>
        <v>324721</v>
      </c>
      <c r="D43" s="57" t="str">
        <f>[1]anexo!D42</f>
        <v xml:space="preserve"> 145 INDEPENDENCIA AMERICANA</v>
      </c>
      <c r="E43" s="57" t="str">
        <f>[1]anexo!E42</f>
        <v>PREFABRICADO</v>
      </c>
      <c r="F43" s="57">
        <f>[1]anexo!F42</f>
        <v>38</v>
      </c>
      <c r="G43" s="57">
        <f>[1]anexo!G42</f>
        <v>2</v>
      </c>
      <c r="H43" s="56">
        <f>[1]anexo!J42</f>
        <v>45342</v>
      </c>
    </row>
    <row r="44" spans="1:8" s="47" customFormat="1" x14ac:dyDescent="0.25">
      <c r="A44" s="57">
        <f>[1]anexo!A43</f>
        <v>41</v>
      </c>
      <c r="B44" s="57">
        <f>[1]anexo!B43</f>
        <v>2481775</v>
      </c>
      <c r="C44" s="57">
        <f>[1]anexo!C43</f>
        <v>324684</v>
      </c>
      <c r="D44" s="57" t="str">
        <f>[1]anexo!D43</f>
        <v xml:space="preserve"> 0139 GRAN AMAUTA MARIÁTEGUI</v>
      </c>
      <c r="E44" s="57" t="str">
        <f>[1]anexo!E43</f>
        <v>PREFABRICADO</v>
      </c>
      <c r="F44" s="57">
        <f>[1]anexo!F43</f>
        <v>32</v>
      </c>
      <c r="G44" s="57">
        <f>[1]anexo!G43</f>
        <v>0</v>
      </c>
      <c r="H44" s="56">
        <f>[1]anexo!J43</f>
        <v>45289</v>
      </c>
    </row>
    <row r="45" spans="1:8" s="47" customFormat="1" x14ac:dyDescent="0.25">
      <c r="A45" s="57">
        <f>[1]anexo!A44</f>
        <v>42</v>
      </c>
      <c r="B45" s="57">
        <f>[1]anexo!B44</f>
        <v>2455343</v>
      </c>
      <c r="C45" s="57">
        <f>[1]anexo!C44</f>
        <v>324580</v>
      </c>
      <c r="D45" s="57" t="str">
        <f>[1]anexo!D44</f>
        <v xml:space="preserve"> 126 JAVIER PÉREZ DE CUELLAR</v>
      </c>
      <c r="E45" s="57" t="str">
        <f>[1]anexo!E44</f>
        <v>PREFABRICADO</v>
      </c>
      <c r="F45" s="57">
        <f>[1]anexo!F44</f>
        <v>22</v>
      </c>
      <c r="G45" s="57">
        <f>[1]anexo!G44</f>
        <v>6</v>
      </c>
      <c r="H45" s="56">
        <f>[1]anexo!J44</f>
        <v>45289</v>
      </c>
    </row>
    <row r="46" spans="1:8" s="47" customFormat="1" ht="25.5" x14ac:dyDescent="0.25">
      <c r="A46" s="57">
        <f>[1]anexo!A45</f>
        <v>43</v>
      </c>
      <c r="B46" s="57">
        <f>[1]anexo!B45</f>
        <v>2480865</v>
      </c>
      <c r="C46" s="57">
        <f>[1]anexo!C45</f>
        <v>324882</v>
      </c>
      <c r="D46" s="57" t="str">
        <f>[1]anexo!D45</f>
        <v xml:space="preserve"> 163 TENNTE CORONEL EP NESTOR ESCUDERO OTERO</v>
      </c>
      <c r="E46" s="57" t="str">
        <f>[1]anexo!E45</f>
        <v>PREFABRICADO</v>
      </c>
      <c r="F46" s="57">
        <f>[1]anexo!F45</f>
        <v>43</v>
      </c>
      <c r="G46" s="57">
        <f>[1]anexo!G45</f>
        <v>2</v>
      </c>
      <c r="H46" s="56">
        <f>[1]anexo!J45</f>
        <v>45289</v>
      </c>
    </row>
    <row r="47" spans="1:8" s="47" customFormat="1" x14ac:dyDescent="0.25">
      <c r="A47" s="57">
        <f>[1]anexo!A46</f>
        <v>44</v>
      </c>
      <c r="B47" s="57">
        <f>[1]anexo!B46</f>
        <v>2475674</v>
      </c>
      <c r="C47" s="57">
        <f>[1]anexo!C46</f>
        <v>311083</v>
      </c>
      <c r="D47" s="57" t="str">
        <f>[1]anexo!D46</f>
        <v xml:space="preserve"> 3080 - PERÚ - CANADÁ</v>
      </c>
      <c r="E47" s="57" t="str">
        <f>[1]anexo!E46</f>
        <v>PREFABRICADO</v>
      </c>
      <c r="F47" s="57">
        <f>[1]anexo!F46</f>
        <v>17</v>
      </c>
      <c r="G47" s="57">
        <f>[1]anexo!G46</f>
        <v>3</v>
      </c>
      <c r="H47" s="56">
        <f>[1]anexo!J46</f>
        <v>45026</v>
      </c>
    </row>
    <row r="48" spans="1:8" s="47" customFormat="1" x14ac:dyDescent="0.25">
      <c r="A48" s="57">
        <f>[1]anexo!A47</f>
        <v>45</v>
      </c>
      <c r="B48" s="57">
        <f>[1]anexo!B47</f>
        <v>2475674</v>
      </c>
      <c r="C48" s="57">
        <f>[1]anexo!C47</f>
        <v>311083</v>
      </c>
      <c r="D48" s="57" t="str">
        <f>[1]anexo!D47</f>
        <v xml:space="preserve"> 3080 - PERÚ - CANADÁ</v>
      </c>
      <c r="E48" s="57" t="str">
        <f>[1]anexo!E47</f>
        <v>PREFABRICADO</v>
      </c>
      <c r="F48" s="57">
        <f>[1]anexo!F47</f>
        <v>9</v>
      </c>
      <c r="G48" s="57">
        <f>[1]anexo!G47</f>
        <v>0</v>
      </c>
      <c r="H48" s="56">
        <f>[1]anexo!J47</f>
        <v>45026</v>
      </c>
    </row>
    <row r="49" spans="1:8" s="47" customFormat="1" x14ac:dyDescent="0.25">
      <c r="A49" s="57">
        <f>[1]anexo!A48</f>
        <v>46</v>
      </c>
      <c r="B49" s="57">
        <f>[1]anexo!B48</f>
        <v>2457878</v>
      </c>
      <c r="C49" s="57">
        <f>[1]anexo!C48</f>
        <v>291792</v>
      </c>
      <c r="D49" s="57" t="str">
        <f>[1]anexo!D48</f>
        <v xml:space="preserve"> 1268 GUSTAVO MOHME LLONA</v>
      </c>
      <c r="E49" s="57" t="str">
        <f>[1]anexo!E48</f>
        <v>PREFABRICADO</v>
      </c>
      <c r="F49" s="57">
        <f>[1]anexo!F48</f>
        <v>11</v>
      </c>
      <c r="G49" s="57">
        <f>[1]anexo!G48</f>
        <v>5</v>
      </c>
      <c r="H49" s="56">
        <f>[1]anexo!J48</f>
        <v>45048</v>
      </c>
    </row>
    <row r="50" spans="1:8" s="47" customFormat="1" x14ac:dyDescent="0.25">
      <c r="A50" s="57">
        <f>[1]anexo!A49</f>
        <v>47</v>
      </c>
      <c r="B50" s="57">
        <f>[1]anexo!B49</f>
        <v>2457878</v>
      </c>
      <c r="C50" s="57">
        <f>[1]anexo!C49</f>
        <v>291792</v>
      </c>
      <c r="D50" s="57" t="str">
        <f>[1]anexo!D49</f>
        <v xml:space="preserve"> 1268 GUSTAVO MOHME LLONA</v>
      </c>
      <c r="E50" s="57" t="str">
        <f>[1]anexo!E49</f>
        <v>PREFABRICADO</v>
      </c>
      <c r="F50" s="57">
        <f>[1]anexo!F49</f>
        <v>6</v>
      </c>
      <c r="G50" s="57">
        <f>[1]anexo!G49</f>
        <v>4</v>
      </c>
      <c r="H50" s="56">
        <f>[1]anexo!J49</f>
        <v>45048</v>
      </c>
    </row>
    <row r="51" spans="1:8" s="47" customFormat="1" x14ac:dyDescent="0.25">
      <c r="A51" s="57">
        <f>[1]anexo!A50</f>
        <v>48</v>
      </c>
      <c r="B51" s="57">
        <f>[1]anexo!B50</f>
        <v>2457878</v>
      </c>
      <c r="C51" s="57">
        <f>[1]anexo!C50</f>
        <v>291792</v>
      </c>
      <c r="D51" s="57" t="str">
        <f>[1]anexo!D50</f>
        <v xml:space="preserve"> 1268 GUSTAVO MOHME LLONA</v>
      </c>
      <c r="E51" s="57" t="str">
        <f>[1]anexo!E50</f>
        <v>PREFABRICADO</v>
      </c>
      <c r="F51" s="57">
        <f>[1]anexo!F50</f>
        <v>3</v>
      </c>
      <c r="G51" s="57">
        <f>[1]anexo!G50</f>
        <v>2</v>
      </c>
      <c r="H51" s="56">
        <f>[1]anexo!J50</f>
        <v>45048</v>
      </c>
    </row>
    <row r="52" spans="1:8" s="47" customFormat="1" x14ac:dyDescent="0.25">
      <c r="A52" s="57">
        <f>[1]anexo!A51</f>
        <v>49</v>
      </c>
      <c r="B52" s="57">
        <f>[1]anexo!B51</f>
        <v>2468688</v>
      </c>
      <c r="C52" s="57">
        <f>[1]anexo!C51</f>
        <v>292126</v>
      </c>
      <c r="D52" s="57" t="str">
        <f>[1]anexo!D51</f>
        <v xml:space="preserve"> MANUEL GONZALES PRADA</v>
      </c>
      <c r="E52" s="57" t="str">
        <f>[1]anexo!E51</f>
        <v>PREFABRICADO</v>
      </c>
      <c r="F52" s="57">
        <f>[1]anexo!F51</f>
        <v>24</v>
      </c>
      <c r="G52" s="57">
        <f>[1]anexo!G51</f>
        <v>15</v>
      </c>
      <c r="H52" s="56">
        <f>[1]anexo!J51</f>
        <v>45061</v>
      </c>
    </row>
    <row r="53" spans="1:8" s="47" customFormat="1" x14ac:dyDescent="0.25">
      <c r="A53" s="57">
        <f>[1]anexo!A52</f>
        <v>50</v>
      </c>
      <c r="B53" s="57">
        <f>[1]anexo!B52</f>
        <v>2468688</v>
      </c>
      <c r="C53" s="57">
        <f>[1]anexo!C52</f>
        <v>292126</v>
      </c>
      <c r="D53" s="57" t="str">
        <f>[1]anexo!D52</f>
        <v xml:space="preserve"> MANUEL GONZALES PRADA</v>
      </c>
      <c r="E53" s="57" t="str">
        <f>[1]anexo!E52</f>
        <v>PREFABRICADO</v>
      </c>
      <c r="F53" s="57">
        <f>[1]anexo!F52</f>
        <v>10</v>
      </c>
      <c r="G53" s="57">
        <f>[1]anexo!G52</f>
        <v>0</v>
      </c>
      <c r="H53" s="56">
        <f>[1]anexo!J52</f>
        <v>45061</v>
      </c>
    </row>
    <row r="54" spans="1:8" s="47" customFormat="1" x14ac:dyDescent="0.25">
      <c r="A54" s="57">
        <f>[1]anexo!A53</f>
        <v>51</v>
      </c>
      <c r="B54" s="57">
        <f>[1]anexo!B53</f>
        <v>2468688</v>
      </c>
      <c r="C54" s="57">
        <f>[1]anexo!C53</f>
        <v>292126</v>
      </c>
      <c r="D54" s="57" t="str">
        <f>[1]anexo!D53</f>
        <v xml:space="preserve"> MANUEL GONZALES PRADA</v>
      </c>
      <c r="E54" s="57" t="str">
        <f>[1]anexo!E53</f>
        <v>PREFABRICADO</v>
      </c>
      <c r="F54" s="57">
        <f>[1]anexo!F53</f>
        <v>6</v>
      </c>
      <c r="G54" s="57">
        <f>[1]anexo!G53</f>
        <v>0</v>
      </c>
      <c r="H54" s="56">
        <f>[1]anexo!J53</f>
        <v>45061</v>
      </c>
    </row>
    <row r="55" spans="1:8" s="47" customFormat="1" x14ac:dyDescent="0.25">
      <c r="A55" s="57">
        <f>[1]anexo!A54</f>
        <v>52</v>
      </c>
      <c r="B55" s="57">
        <f>[1]anexo!B54</f>
        <v>2468688</v>
      </c>
      <c r="C55" s="57">
        <f>[1]anexo!C54</f>
        <v>292126</v>
      </c>
      <c r="D55" s="57" t="str">
        <f>[1]anexo!D54</f>
        <v xml:space="preserve"> MANUEL GONZALES PRADA</v>
      </c>
      <c r="E55" s="57" t="str">
        <f>[1]anexo!E54</f>
        <v>PREFABRICADO</v>
      </c>
      <c r="F55" s="57">
        <f>[1]anexo!F54</f>
        <v>19</v>
      </c>
      <c r="G55" s="57">
        <f>[1]anexo!G54</f>
        <v>0</v>
      </c>
      <c r="H55" s="56">
        <f>[1]anexo!J54</f>
        <v>45061</v>
      </c>
    </row>
    <row r="56" spans="1:8" s="47" customFormat="1" x14ac:dyDescent="0.25">
      <c r="A56" s="57">
        <f>[1]anexo!A55</f>
        <v>53</v>
      </c>
      <c r="B56" s="57">
        <f>[1]anexo!B55</f>
        <v>2485617</v>
      </c>
      <c r="C56" s="57">
        <f>[1]anexo!C55</f>
        <v>292268</v>
      </c>
      <c r="D56" s="57" t="str">
        <f>[1]anexo!D55</f>
        <v xml:space="preserve"> 0034</v>
      </c>
      <c r="E56" s="57" t="str">
        <f>[1]anexo!E55</f>
        <v>PREFABRICADO</v>
      </c>
      <c r="F56" s="57">
        <f>[1]anexo!F55</f>
        <v>20</v>
      </c>
      <c r="G56" s="57">
        <f>[1]anexo!G55</f>
        <v>0</v>
      </c>
      <c r="H56" s="56">
        <f>[1]anexo!J55</f>
        <v>45012</v>
      </c>
    </row>
    <row r="57" spans="1:8" s="47" customFormat="1" x14ac:dyDescent="0.25">
      <c r="A57" s="57">
        <f>[1]anexo!A56</f>
        <v>54</v>
      </c>
      <c r="B57" s="57">
        <f>[1]anexo!B56</f>
        <v>2461341</v>
      </c>
      <c r="C57" s="57">
        <f>[1]anexo!C56</f>
        <v>292490</v>
      </c>
      <c r="D57" s="57" t="str">
        <f>[1]anexo!D56</f>
        <v xml:space="preserve"> 1209 MARISCAL TORIBIO DE LUZURIAGA</v>
      </c>
      <c r="E57" s="57" t="str">
        <f>[1]anexo!E56</f>
        <v>PREFABRICADO</v>
      </c>
      <c r="F57" s="57">
        <f>[1]anexo!F56</f>
        <v>12</v>
      </c>
      <c r="G57" s="57">
        <f>[1]anexo!G56</f>
        <v>3</v>
      </c>
      <c r="H57" s="56">
        <f>[1]anexo!J56</f>
        <v>45040</v>
      </c>
    </row>
    <row r="58" spans="1:8" s="47" customFormat="1" x14ac:dyDescent="0.25">
      <c r="A58" s="57">
        <f>[1]anexo!A57</f>
        <v>55</v>
      </c>
      <c r="B58" s="57">
        <f>[1]anexo!B57</f>
        <v>2475706</v>
      </c>
      <c r="C58" s="57">
        <f>[1]anexo!C57</f>
        <v>313591</v>
      </c>
      <c r="D58" s="57" t="str">
        <f>[1]anexo!D57</f>
        <v xml:space="preserve"> 1267</v>
      </c>
      <c r="E58" s="57" t="str">
        <f>[1]anexo!E57</f>
        <v>PREFABRICADO</v>
      </c>
      <c r="F58" s="57">
        <f>[1]anexo!F57</f>
        <v>16</v>
      </c>
      <c r="G58" s="57">
        <f>[1]anexo!G57</f>
        <v>3</v>
      </c>
      <c r="H58" s="56">
        <f>[1]anexo!J57</f>
        <v>45005</v>
      </c>
    </row>
    <row r="59" spans="1:8" s="47" customFormat="1" x14ac:dyDescent="0.25">
      <c r="A59" s="57">
        <f>[1]anexo!A58</f>
        <v>56</v>
      </c>
      <c r="B59" s="57">
        <f>[1]anexo!B58</f>
        <v>2475706</v>
      </c>
      <c r="C59" s="57">
        <f>[1]anexo!C58</f>
        <v>313591</v>
      </c>
      <c r="D59" s="57" t="str">
        <f>[1]anexo!D58</f>
        <v xml:space="preserve"> 1267</v>
      </c>
      <c r="E59" s="57" t="str">
        <f>[1]anexo!E58</f>
        <v>PREFABRICADO</v>
      </c>
      <c r="F59" s="57">
        <f>[1]anexo!F58</f>
        <v>16</v>
      </c>
      <c r="G59" s="57">
        <f>[1]anexo!G58</f>
        <v>2</v>
      </c>
      <c r="H59" s="56">
        <f>[1]anexo!J58</f>
        <v>45005</v>
      </c>
    </row>
    <row r="60" spans="1:8" s="47" customFormat="1" x14ac:dyDescent="0.25">
      <c r="A60" s="57">
        <f>[1]anexo!A59</f>
        <v>57</v>
      </c>
      <c r="B60" s="57">
        <f>[1]anexo!B59</f>
        <v>2481449</v>
      </c>
      <c r="C60" s="57">
        <f>[1]anexo!C59</f>
        <v>292598</v>
      </c>
      <c r="D60" s="57" t="str">
        <f>[1]anexo!D59</f>
        <v xml:space="preserve"> 1255 WALTER PEÑALOZA</v>
      </c>
      <c r="E60" s="57" t="str">
        <f>[1]anexo!E59</f>
        <v>PREFABRICADO</v>
      </c>
      <c r="F60" s="57">
        <f>[1]anexo!F59</f>
        <v>24</v>
      </c>
      <c r="G60" s="57">
        <f>[1]anexo!G59</f>
        <v>8</v>
      </c>
      <c r="H60" s="56">
        <f>[1]anexo!J59</f>
        <v>45033</v>
      </c>
    </row>
    <row r="61" spans="1:8" s="47" customFormat="1" x14ac:dyDescent="0.25">
      <c r="A61" s="57">
        <f>[1]anexo!A60</f>
        <v>58</v>
      </c>
      <c r="B61" s="57">
        <f>[1]anexo!B60</f>
        <v>2485212</v>
      </c>
      <c r="C61" s="57">
        <f>[1]anexo!C60</f>
        <v>292254</v>
      </c>
      <c r="D61" s="57" t="str">
        <f>[1]anexo!D60</f>
        <v xml:space="preserve"> 046 VÍCTOR RAÚL HAYA DE LA TORRE</v>
      </c>
      <c r="E61" s="57" t="str">
        <f>[1]anexo!E60</f>
        <v>PREFABRICADO</v>
      </c>
      <c r="F61" s="57">
        <f>[1]anexo!F60</f>
        <v>5</v>
      </c>
      <c r="G61" s="57">
        <f>[1]anexo!G60</f>
        <v>18</v>
      </c>
      <c r="H61" s="56">
        <f>[1]anexo!J60</f>
        <v>45012</v>
      </c>
    </row>
    <row r="62" spans="1:8" s="47" customFormat="1" x14ac:dyDescent="0.25">
      <c r="A62" s="57">
        <f>[1]anexo!A61</f>
        <v>59</v>
      </c>
      <c r="B62" s="57">
        <f>[1]anexo!B61</f>
        <v>2462240</v>
      </c>
      <c r="C62" s="57">
        <f>[1]anexo!C61</f>
        <v>329889</v>
      </c>
      <c r="D62" s="57" t="str">
        <f>[1]anexo!D61</f>
        <v xml:space="preserve"> 7207 MCAL.RAMON CASTILLA</v>
      </c>
      <c r="E62" s="57" t="str">
        <f>[1]anexo!E61</f>
        <v>PREFABRICADO</v>
      </c>
      <c r="F62" s="57">
        <f>[1]anexo!F61</f>
        <v>26</v>
      </c>
      <c r="G62" s="57">
        <f>[1]anexo!G61</f>
        <v>0</v>
      </c>
      <c r="H62" s="56">
        <f>[1]anexo!J61</f>
        <v>45110</v>
      </c>
    </row>
    <row r="63" spans="1:8" s="47" customFormat="1" x14ac:dyDescent="0.25">
      <c r="A63" s="57">
        <f>[1]anexo!A62</f>
        <v>60</v>
      </c>
      <c r="B63" s="57">
        <f>[1]anexo!B62</f>
        <v>2468576</v>
      </c>
      <c r="C63" s="57">
        <f>[1]anexo!C62</f>
        <v>320600</v>
      </c>
      <c r="D63" s="57" t="str">
        <f>[1]anexo!D62</f>
        <v xml:space="preserve"> 2099 PATRICIA ROSA MERINO</v>
      </c>
      <c r="E63" s="57" t="str">
        <f>[1]anexo!E62</f>
        <v>PREFABRICADO</v>
      </c>
      <c r="F63" s="57">
        <f>[1]anexo!F62</f>
        <v>10</v>
      </c>
      <c r="G63" s="57">
        <f>[1]anexo!G62</f>
        <v>1</v>
      </c>
      <c r="H63" s="56">
        <f>[1]anexo!J62</f>
        <v>45048</v>
      </c>
    </row>
    <row r="64" spans="1:8" s="47" customFormat="1" x14ac:dyDescent="0.25">
      <c r="A64" s="57">
        <f>[1]anexo!A63</f>
        <v>61</v>
      </c>
      <c r="B64" s="57">
        <f>[1]anexo!B63</f>
        <v>2459714</v>
      </c>
      <c r="C64" s="57">
        <f>[1]anexo!C63</f>
        <v>329974</v>
      </c>
      <c r="D64" s="57" t="str">
        <f>[1]anexo!D63</f>
        <v xml:space="preserve"> JAVIER HERAUD</v>
      </c>
      <c r="E64" s="57" t="str">
        <f>[1]anexo!E63</f>
        <v>PREFABRICADO</v>
      </c>
      <c r="F64" s="57">
        <f>[1]anexo!F63</f>
        <v>25</v>
      </c>
      <c r="G64" s="57">
        <f>[1]anexo!G63</f>
        <v>16</v>
      </c>
      <c r="H64" s="56">
        <f>[1]anexo!J63</f>
        <v>45054</v>
      </c>
    </row>
    <row r="65" spans="1:8" s="47" customFormat="1" ht="25.5" x14ac:dyDescent="0.25">
      <c r="A65" s="57">
        <f>[1]anexo!A64</f>
        <v>62</v>
      </c>
      <c r="B65" s="57">
        <f>[1]anexo!B64</f>
        <v>2488279</v>
      </c>
      <c r="C65" s="57">
        <f>[1]anexo!C64</f>
        <v>287988</v>
      </c>
      <c r="D65" s="57" t="str">
        <f>[1]anexo!D64</f>
        <v xml:space="preserve"> 101 LIBERTADOR SIMON BOLIVAR /  1166 LIBERTADOR SIMON BOLIVAR</v>
      </c>
      <c r="E65" s="57" t="str">
        <f>[1]anexo!E64</f>
        <v>PREFABRICADO</v>
      </c>
      <c r="F65" s="57">
        <f>[1]anexo!F64</f>
        <v>1</v>
      </c>
      <c r="G65" s="57">
        <f>[1]anexo!G64</f>
        <v>4</v>
      </c>
      <c r="H65" s="56">
        <f>[1]anexo!J64</f>
        <v>45026</v>
      </c>
    </row>
    <row r="66" spans="1:8" s="47" customFormat="1" ht="25.5" x14ac:dyDescent="0.25">
      <c r="A66" s="57">
        <f>[1]anexo!A65</f>
        <v>63</v>
      </c>
      <c r="B66" s="57">
        <f>[1]anexo!B65</f>
        <v>2488279</v>
      </c>
      <c r="C66" s="57">
        <f>[1]anexo!C65</f>
        <v>287988</v>
      </c>
      <c r="D66" s="57" t="str">
        <f>[1]anexo!D65</f>
        <v xml:space="preserve"> 101 LIBERTADOR SIMON BOLIVAR /  1166 LIBERTADOR SIMON BOLIVAR</v>
      </c>
      <c r="E66" s="57" t="str">
        <f>[1]anexo!E65</f>
        <v>PREFABRICADO</v>
      </c>
      <c r="F66" s="57">
        <f>[1]anexo!F65</f>
        <v>2</v>
      </c>
      <c r="G66" s="57">
        <f>[1]anexo!G65</f>
        <v>0</v>
      </c>
      <c r="H66" s="56">
        <f>[1]anexo!J65</f>
        <v>45026</v>
      </c>
    </row>
    <row r="67" spans="1:8" s="47" customFormat="1" ht="25.5" x14ac:dyDescent="0.25">
      <c r="A67" s="57">
        <f>[1]anexo!A66</f>
        <v>64</v>
      </c>
      <c r="B67" s="57">
        <f>[1]anexo!B66</f>
        <v>2488279</v>
      </c>
      <c r="C67" s="57">
        <f>[1]anexo!C66</f>
        <v>287988</v>
      </c>
      <c r="D67" s="57" t="str">
        <f>[1]anexo!D66</f>
        <v xml:space="preserve"> 101 LIBERTADOR SIMON BOLIVAR /  1166 LIBERTADOR SIMON BOLIVAR</v>
      </c>
      <c r="E67" s="57" t="str">
        <f>[1]anexo!E66</f>
        <v>PREFABRICADO</v>
      </c>
      <c r="F67" s="57">
        <f>[1]anexo!F66</f>
        <v>1</v>
      </c>
      <c r="G67" s="57">
        <f>[1]anexo!G66</f>
        <v>0</v>
      </c>
      <c r="H67" s="56">
        <f>[1]anexo!J66</f>
        <v>45026</v>
      </c>
    </row>
    <row r="68" spans="1:8" s="47" customFormat="1" x14ac:dyDescent="0.25">
      <c r="A68" s="57">
        <f>[1]anexo!A67</f>
        <v>65</v>
      </c>
      <c r="B68" s="57">
        <f>[1]anexo!B67</f>
        <v>2485549</v>
      </c>
      <c r="C68" s="57">
        <f>[1]anexo!C67</f>
        <v>340231</v>
      </c>
      <c r="D68" s="57" t="str">
        <f>[1]anexo!D67</f>
        <v xml:space="preserve"> 7086 LOS PRECURSORES</v>
      </c>
      <c r="E68" s="57" t="str">
        <f>[1]anexo!E67</f>
        <v>PREFABRICADO</v>
      </c>
      <c r="F68" s="57">
        <f>[1]anexo!F67</f>
        <v>25</v>
      </c>
      <c r="G68" s="57">
        <f>[1]anexo!G67</f>
        <v>0</v>
      </c>
      <c r="H68" s="56">
        <f>[1]anexo!J67</f>
        <v>45350</v>
      </c>
    </row>
    <row r="69" spans="1:8" s="47" customFormat="1" x14ac:dyDescent="0.25">
      <c r="A69" s="57">
        <f>[1]anexo!A68</f>
        <v>66</v>
      </c>
      <c r="B69" s="57">
        <f>[1]anexo!B68</f>
        <v>2485549</v>
      </c>
      <c r="C69" s="57">
        <f>[1]anexo!C68</f>
        <v>340231</v>
      </c>
      <c r="D69" s="57" t="str">
        <f>[1]anexo!D68</f>
        <v xml:space="preserve"> 7086 LOS PRECURSORES</v>
      </c>
      <c r="E69" s="57" t="str">
        <f>[1]anexo!E68</f>
        <v>PREFABRICADO</v>
      </c>
      <c r="F69" s="57">
        <f>[1]anexo!F68</f>
        <v>8</v>
      </c>
      <c r="G69" s="57">
        <f>[1]anexo!G68</f>
        <v>1</v>
      </c>
      <c r="H69" s="56">
        <f>[1]anexo!J68</f>
        <v>45350</v>
      </c>
    </row>
    <row r="70" spans="1:8" s="47" customFormat="1" x14ac:dyDescent="0.25">
      <c r="A70" s="57">
        <f>[1]anexo!A69</f>
        <v>67</v>
      </c>
      <c r="B70" s="57">
        <f>[1]anexo!B69</f>
        <v>2485468</v>
      </c>
      <c r="C70" s="57">
        <f>[1]anexo!C69</f>
        <v>298816</v>
      </c>
      <c r="D70" s="57" t="str">
        <f>[1]anexo!D69</f>
        <v xml:space="preserve"> 6094 SANTA ROSA</v>
      </c>
      <c r="E70" s="57" t="str">
        <f>[1]anexo!E69</f>
        <v>PREFABRICADO</v>
      </c>
      <c r="F70" s="57">
        <f>[1]anexo!F69</f>
        <v>14</v>
      </c>
      <c r="G70" s="57">
        <f>[1]anexo!G69</f>
        <v>4</v>
      </c>
      <c r="H70" s="56">
        <f>[1]anexo!J69</f>
        <v>45008</v>
      </c>
    </row>
    <row r="71" spans="1:8" s="47" customFormat="1" x14ac:dyDescent="0.25">
      <c r="A71" s="57">
        <f>[1]anexo!A70</f>
        <v>68</v>
      </c>
      <c r="B71" s="57">
        <f>[1]anexo!B70</f>
        <v>2485468</v>
      </c>
      <c r="C71" s="57">
        <f>[1]anexo!C70</f>
        <v>298816</v>
      </c>
      <c r="D71" s="57" t="str">
        <f>[1]anexo!D70</f>
        <v xml:space="preserve"> 6094 SANTA ROSA</v>
      </c>
      <c r="E71" s="57" t="str">
        <f>[1]anexo!E70</f>
        <v>PREFABRICADO</v>
      </c>
      <c r="F71" s="57">
        <f>[1]anexo!F70</f>
        <v>6</v>
      </c>
      <c r="G71" s="57">
        <f>[1]anexo!G70</f>
        <v>6</v>
      </c>
      <c r="H71" s="56">
        <f>[1]anexo!J70</f>
        <v>45008</v>
      </c>
    </row>
    <row r="72" spans="1:8" s="47" customFormat="1" x14ac:dyDescent="0.25">
      <c r="A72" s="57">
        <f>[1]anexo!A71</f>
        <v>69</v>
      </c>
      <c r="B72" s="57">
        <f>[1]anexo!B71</f>
        <v>2487949</v>
      </c>
      <c r="C72" s="57">
        <f>[1]anexo!C71</f>
        <v>308783</v>
      </c>
      <c r="D72" s="57" t="str">
        <f>[1]anexo!D71</f>
        <v>1124 JOSE MARTI</v>
      </c>
      <c r="E72" s="57" t="str">
        <f>[1]anexo!E71</f>
        <v>PREFABRICADO</v>
      </c>
      <c r="F72" s="57">
        <f>[1]anexo!F71</f>
        <v>0</v>
      </c>
      <c r="G72" s="57">
        <f>[1]anexo!G71</f>
        <v>0</v>
      </c>
      <c r="H72" s="56">
        <f>[1]anexo!J71</f>
        <v>45005</v>
      </c>
    </row>
    <row r="73" spans="1:8" s="47" customFormat="1" x14ac:dyDescent="0.25">
      <c r="A73" s="57">
        <f>[1]anexo!A72</f>
        <v>70</v>
      </c>
      <c r="B73" s="57">
        <f>[1]anexo!B72</f>
        <v>2463380</v>
      </c>
      <c r="C73" s="57">
        <f>[1]anexo!C72</f>
        <v>332165</v>
      </c>
      <c r="D73" s="57" t="str">
        <f>[1]anexo!D72</f>
        <v xml:space="preserve"> 0083 SAN JUAN MACIAS</v>
      </c>
      <c r="E73" s="57" t="str">
        <f>[1]anexo!E72</f>
        <v>PREFABRICADO</v>
      </c>
      <c r="F73" s="57">
        <f>[1]anexo!F72</f>
        <v>10</v>
      </c>
      <c r="G73" s="57">
        <f>[1]anexo!G72</f>
        <v>0</v>
      </c>
      <c r="H73" s="56">
        <f>[1]anexo!J72</f>
        <v>45351</v>
      </c>
    </row>
    <row r="74" spans="1:8" s="47" customFormat="1" x14ac:dyDescent="0.25">
      <c r="A74" s="57">
        <f>[1]anexo!A73</f>
        <v>71</v>
      </c>
      <c r="B74" s="57">
        <f>[1]anexo!B73</f>
        <v>2463380</v>
      </c>
      <c r="C74" s="57">
        <f>[1]anexo!C73</f>
        <v>332165</v>
      </c>
      <c r="D74" s="57" t="str">
        <f>[1]anexo!D73</f>
        <v xml:space="preserve"> 0083 SAN JUAN MACIAS</v>
      </c>
      <c r="E74" s="57" t="str">
        <f>[1]anexo!E73</f>
        <v>PREFABRICADO</v>
      </c>
      <c r="F74" s="57">
        <f>[1]anexo!F73</f>
        <v>0</v>
      </c>
      <c r="G74" s="57">
        <f>[1]anexo!G73</f>
        <v>0</v>
      </c>
      <c r="H74" s="56">
        <f>[1]anexo!J73</f>
        <v>45351</v>
      </c>
    </row>
    <row r="75" spans="1:8" s="47" customFormat="1" x14ac:dyDescent="0.25">
      <c r="A75" s="57">
        <f>[1]anexo!A74</f>
        <v>72</v>
      </c>
      <c r="B75" s="57">
        <f>[1]anexo!B74</f>
        <v>2482927</v>
      </c>
      <c r="C75" s="57">
        <f>[1]anexo!C74</f>
        <v>340189</v>
      </c>
      <c r="D75" s="57" t="str">
        <f>[1]anexo!D74</f>
        <v xml:space="preserve"> 6082 LOS PROCERES</v>
      </c>
      <c r="E75" s="57" t="str">
        <f>[1]anexo!E74</f>
        <v>PREFABRICADO</v>
      </c>
      <c r="F75" s="57">
        <f>[1]anexo!F74</f>
        <v>0</v>
      </c>
      <c r="G75" s="57">
        <f>[1]anexo!G74</f>
        <v>1</v>
      </c>
      <c r="H75" s="56">
        <f>[1]anexo!J74</f>
        <v>45338</v>
      </c>
    </row>
    <row r="76" spans="1:8" s="47" customFormat="1" x14ac:dyDescent="0.25">
      <c r="A76" s="57">
        <f>[1]anexo!A75</f>
        <v>73</v>
      </c>
      <c r="B76" s="57">
        <f>[1]anexo!B75</f>
        <v>2482927</v>
      </c>
      <c r="C76" s="57">
        <f>[1]anexo!C75</f>
        <v>340189</v>
      </c>
      <c r="D76" s="57" t="str">
        <f>[1]anexo!D75</f>
        <v xml:space="preserve"> 6082 LOS PROCERES</v>
      </c>
      <c r="E76" s="57" t="str">
        <f>[1]anexo!E75</f>
        <v>PREFABRICADO</v>
      </c>
      <c r="F76" s="57">
        <f>[1]anexo!F75</f>
        <v>1</v>
      </c>
      <c r="G76" s="57">
        <f>[1]anexo!G75</f>
        <v>0</v>
      </c>
      <c r="H76" s="56">
        <f>[1]anexo!J75</f>
        <v>45338</v>
      </c>
    </row>
    <row r="77" spans="1:8" s="47" customFormat="1" x14ac:dyDescent="0.25">
      <c r="A77" s="57">
        <f>[1]anexo!A76</f>
        <v>74</v>
      </c>
      <c r="B77" s="57">
        <f>[1]anexo!B76</f>
        <v>2482927</v>
      </c>
      <c r="C77" s="57">
        <f>[1]anexo!C76</f>
        <v>340189</v>
      </c>
      <c r="D77" s="57" t="str">
        <f>[1]anexo!D76</f>
        <v xml:space="preserve"> 6082 LOS PROCERES</v>
      </c>
      <c r="E77" s="57" t="str">
        <f>[1]anexo!E76</f>
        <v>PREFABRICADO</v>
      </c>
      <c r="F77" s="57">
        <f>[1]anexo!F76</f>
        <v>0</v>
      </c>
      <c r="G77" s="57">
        <f>[1]anexo!G76</f>
        <v>0</v>
      </c>
      <c r="H77" s="56">
        <f>[1]anexo!J76</f>
        <v>45338</v>
      </c>
    </row>
    <row r="78" spans="1:8" s="47" customFormat="1" x14ac:dyDescent="0.25">
      <c r="A78" s="57">
        <f>[1]anexo!A77</f>
        <v>75</v>
      </c>
      <c r="B78" s="57">
        <f>[1]anexo!B77</f>
        <v>2475656</v>
      </c>
      <c r="C78" s="57">
        <f>[1]anexo!C77</f>
        <v>338855</v>
      </c>
      <c r="D78" s="57" t="str">
        <f>[1]anexo!D77</f>
        <v xml:space="preserve"> 1221 MARIA PARADO BELLIDO</v>
      </c>
      <c r="E78" s="57" t="str">
        <f>[1]anexo!E77</f>
        <v>PREFABRICADO</v>
      </c>
      <c r="F78" s="57">
        <f>[1]anexo!F77</f>
        <v>10</v>
      </c>
      <c r="G78" s="57">
        <f>[1]anexo!G77</f>
        <v>0</v>
      </c>
      <c r="H78" s="56">
        <f>[1]anexo!J77</f>
        <v>45089</v>
      </c>
    </row>
    <row r="79" spans="1:8" s="47" customFormat="1" x14ac:dyDescent="0.25">
      <c r="A79" s="57">
        <f>[1]anexo!A78</f>
        <v>76</v>
      </c>
      <c r="B79" s="57">
        <f>[1]anexo!B78</f>
        <v>2475656</v>
      </c>
      <c r="C79" s="57">
        <f>[1]anexo!C78</f>
        <v>338855</v>
      </c>
      <c r="D79" s="57" t="str">
        <f>[1]anexo!D78</f>
        <v xml:space="preserve"> 1221 MARIA PARADO BELLIDO</v>
      </c>
      <c r="E79" s="57" t="str">
        <f>[1]anexo!E78</f>
        <v>PREFABRICADO</v>
      </c>
      <c r="F79" s="57">
        <f>[1]anexo!F78</f>
        <v>11</v>
      </c>
      <c r="G79" s="57">
        <f>[1]anexo!G78</f>
        <v>0</v>
      </c>
      <c r="H79" s="56">
        <f>[1]anexo!J78</f>
        <v>45089</v>
      </c>
    </row>
    <row r="80" spans="1:8" s="47" customFormat="1" x14ac:dyDescent="0.25">
      <c r="A80" s="57">
        <f>[1]anexo!A79</f>
        <v>77</v>
      </c>
      <c r="B80" s="57">
        <f>[1]anexo!B79</f>
        <v>2475656</v>
      </c>
      <c r="C80" s="57">
        <f>[1]anexo!C79</f>
        <v>338855</v>
      </c>
      <c r="D80" s="57" t="str">
        <f>[1]anexo!D79</f>
        <v xml:space="preserve"> 1221 MARIA PARADO BELLIDO</v>
      </c>
      <c r="E80" s="57" t="str">
        <f>[1]anexo!E79</f>
        <v>PREFABRICADO</v>
      </c>
      <c r="F80" s="57">
        <f>[1]anexo!F79</f>
        <v>14</v>
      </c>
      <c r="G80" s="57">
        <f>[1]anexo!G79</f>
        <v>0</v>
      </c>
      <c r="H80" s="56">
        <f>[1]anexo!J79</f>
        <v>45089</v>
      </c>
    </row>
    <row r="81" spans="1:8" s="47" customFormat="1" x14ac:dyDescent="0.25">
      <c r="A81" s="57">
        <f>[1]anexo!A80</f>
        <v>78</v>
      </c>
      <c r="B81" s="57">
        <f>[1]anexo!B80</f>
        <v>2471210</v>
      </c>
      <c r="C81" s="57">
        <f>[1]anexo!C80</f>
        <v>307458</v>
      </c>
      <c r="D81" s="57" t="str">
        <f>[1]anexo!D80</f>
        <v xml:space="preserve"> 1235 UNION LATINOAMERICANA</v>
      </c>
      <c r="E81" s="57" t="str">
        <f>[1]anexo!E80</f>
        <v>PREFABRICADO</v>
      </c>
      <c r="F81" s="57">
        <f>[1]anexo!F80</f>
        <v>13</v>
      </c>
      <c r="G81" s="57">
        <f>[1]anexo!G80</f>
        <v>4</v>
      </c>
      <c r="H81" s="56">
        <f>[1]anexo!J80</f>
        <v>45132</v>
      </c>
    </row>
    <row r="82" spans="1:8" s="47" customFormat="1" x14ac:dyDescent="0.25">
      <c r="A82" s="57">
        <f>[1]anexo!A81</f>
        <v>79</v>
      </c>
      <c r="B82" s="57">
        <f>[1]anexo!B81</f>
        <v>2471210</v>
      </c>
      <c r="C82" s="57">
        <f>[1]anexo!C81</f>
        <v>307458</v>
      </c>
      <c r="D82" s="57" t="str">
        <f>[1]anexo!D81</f>
        <v xml:space="preserve"> 1235 UNION LATINOAMERICANA</v>
      </c>
      <c r="E82" s="57" t="str">
        <f>[1]anexo!E81</f>
        <v>PREFABRICADO</v>
      </c>
      <c r="F82" s="57">
        <f>[1]anexo!F81</f>
        <v>21</v>
      </c>
      <c r="G82" s="57">
        <f>[1]anexo!G81</f>
        <v>0</v>
      </c>
      <c r="H82" s="56">
        <f>[1]anexo!J81</f>
        <v>45132</v>
      </c>
    </row>
    <row r="83" spans="1:8" s="47" customFormat="1" x14ac:dyDescent="0.25">
      <c r="A83" s="57">
        <f>[1]anexo!A82</f>
        <v>80</v>
      </c>
      <c r="B83" s="57">
        <f>[1]anexo!B82</f>
        <v>2460031</v>
      </c>
      <c r="C83" s="57">
        <f>[1]anexo!C82</f>
        <v>343772</v>
      </c>
      <c r="D83" s="57" t="str">
        <f>[1]anexo!D82</f>
        <v xml:space="preserve"> 6064 FRANCISCO BOLOGNESI</v>
      </c>
      <c r="E83" s="57" t="str">
        <f>[1]anexo!E82</f>
        <v>PREFABRICADO</v>
      </c>
      <c r="F83" s="57">
        <f>[1]anexo!F82</f>
        <v>8</v>
      </c>
      <c r="G83" s="57">
        <f>[1]anexo!G82</f>
        <v>10</v>
      </c>
      <c r="H83" s="56">
        <f>[1]anexo!J82</f>
        <v>45238</v>
      </c>
    </row>
    <row r="84" spans="1:8" s="47" customFormat="1" x14ac:dyDescent="0.25">
      <c r="A84" s="57">
        <f>[1]anexo!A83</f>
        <v>81</v>
      </c>
      <c r="B84" s="57">
        <f>[1]anexo!B83</f>
        <v>2473874</v>
      </c>
      <c r="C84" s="57">
        <f>[1]anexo!C83</f>
        <v>346515</v>
      </c>
      <c r="D84" s="57" t="str">
        <f>[1]anexo!D83</f>
        <v xml:space="preserve"> 6011 SANTISIMA VIRGEN DE FATIMA</v>
      </c>
      <c r="E84" s="57" t="str">
        <f>[1]anexo!E83</f>
        <v>PREFABRICADO</v>
      </c>
      <c r="F84" s="57">
        <f>[1]anexo!F83</f>
        <v>24</v>
      </c>
      <c r="G84" s="57">
        <f>[1]anexo!G83</f>
        <v>3</v>
      </c>
      <c r="H84" s="56">
        <f>[1]anexo!J83</f>
        <v>45229</v>
      </c>
    </row>
    <row r="85" spans="1:8" s="47" customFormat="1" x14ac:dyDescent="0.25">
      <c r="A85" s="57">
        <f>[1]anexo!A84</f>
        <v>82</v>
      </c>
      <c r="B85" s="57">
        <f>[1]anexo!B84</f>
        <v>2474099</v>
      </c>
      <c r="C85" s="57">
        <f>[1]anexo!C84</f>
        <v>346879</v>
      </c>
      <c r="D85" s="57" t="str">
        <f>[1]anexo!D84</f>
        <v xml:space="preserve"> REPUBLICA DEL ECUADOR</v>
      </c>
      <c r="E85" s="57" t="str">
        <f>[1]anexo!E84</f>
        <v>PREFABRICADO</v>
      </c>
      <c r="F85" s="57">
        <f>[1]anexo!F84</f>
        <v>30</v>
      </c>
      <c r="G85" s="57">
        <f>[1]anexo!G84</f>
        <v>3</v>
      </c>
      <c r="H85" s="56">
        <f>[1]anexo!J84</f>
        <v>45201</v>
      </c>
    </row>
    <row r="86" spans="1:8" s="47" customFormat="1" x14ac:dyDescent="0.25">
      <c r="A86" s="57">
        <f>[1]anexo!A85</f>
        <v>83</v>
      </c>
      <c r="B86" s="57">
        <f>[1]anexo!B85</f>
        <v>2482973</v>
      </c>
      <c r="C86" s="57">
        <f>[1]anexo!C85</f>
        <v>346695</v>
      </c>
      <c r="D86" s="57" t="str">
        <f>[1]anexo!D85</f>
        <v xml:space="preserve"> 6152 STELLA MARIS</v>
      </c>
      <c r="E86" s="57" t="str">
        <f>[1]anexo!E85</f>
        <v>PREFABRICADO</v>
      </c>
      <c r="F86" s="57">
        <f>[1]anexo!F85</f>
        <v>16</v>
      </c>
      <c r="G86" s="57">
        <f>[1]anexo!G85</f>
        <v>40</v>
      </c>
      <c r="H86" s="56">
        <f>[1]anexo!J85</f>
        <v>45258</v>
      </c>
    </row>
    <row r="87" spans="1:8" s="47" customFormat="1" x14ac:dyDescent="0.25">
      <c r="A87" s="57">
        <f>[1]anexo!A86</f>
        <v>84</v>
      </c>
      <c r="B87" s="57">
        <f>[1]anexo!B86</f>
        <v>2489032</v>
      </c>
      <c r="C87" s="57">
        <f>[1]anexo!C86</f>
        <v>348388</v>
      </c>
      <c r="D87" s="57" t="str">
        <f>[1]anexo!D86</f>
        <v xml:space="preserve"> FE Y ALEGRIA 23</v>
      </c>
      <c r="E87" s="57" t="str">
        <f>[1]anexo!E86</f>
        <v>PREFABRICADO</v>
      </c>
      <c r="F87" s="57">
        <f>[1]anexo!F86</f>
        <v>28</v>
      </c>
      <c r="G87" s="57">
        <f>[1]anexo!G86</f>
        <v>0</v>
      </c>
      <c r="H87" s="56">
        <f>[1]anexo!J86</f>
        <v>45210</v>
      </c>
    </row>
    <row r="88" spans="1:8" s="47" customFormat="1" x14ac:dyDescent="0.25">
      <c r="A88" s="57">
        <f>[1]anexo!A87</f>
        <v>85</v>
      </c>
      <c r="B88" s="57">
        <f>[1]anexo!B87</f>
        <v>2489000</v>
      </c>
      <c r="C88" s="57">
        <f>[1]anexo!C87</f>
        <v>348411</v>
      </c>
      <c r="D88" s="57" t="str">
        <f>[1]anexo!D87</f>
        <v xml:space="preserve"> FE Y ALEGRIA 24</v>
      </c>
      <c r="E88" s="57" t="str">
        <f>[1]anexo!E87</f>
        <v>PREFABRICADO</v>
      </c>
      <c r="F88" s="57">
        <f>[1]anexo!F87</f>
        <v>24</v>
      </c>
      <c r="G88" s="57">
        <f>[1]anexo!G87</f>
        <v>0</v>
      </c>
      <c r="H88" s="56">
        <f>[1]anexo!J87</f>
        <v>45201</v>
      </c>
    </row>
    <row r="89" spans="1:8" s="47" customFormat="1" x14ac:dyDescent="0.25">
      <c r="A89" s="57">
        <f>[1]anexo!A88</f>
        <v>86</v>
      </c>
      <c r="B89" s="57">
        <f>[1]anexo!B88</f>
        <v>2456389</v>
      </c>
      <c r="C89" s="57">
        <f>[1]anexo!C88</f>
        <v>343748</v>
      </c>
      <c r="D89" s="57" t="str">
        <f>[1]anexo!D88</f>
        <v xml:space="preserve"> 6048 JORGE BASADRE</v>
      </c>
      <c r="E89" s="57" t="str">
        <f>[1]anexo!E88</f>
        <v>PREFABRICADO</v>
      </c>
      <c r="F89" s="57">
        <f>[1]anexo!F88</f>
        <v>58</v>
      </c>
      <c r="G89" s="57">
        <f>[1]anexo!G88</f>
        <v>1</v>
      </c>
      <c r="H89" s="56">
        <f>[1]anexo!J88</f>
        <v>45244</v>
      </c>
    </row>
    <row r="90" spans="1:8" s="47" customFormat="1" x14ac:dyDescent="0.25">
      <c r="A90" s="57">
        <f>[1]anexo!A89</f>
        <v>87</v>
      </c>
      <c r="B90" s="57">
        <f>[1]anexo!B89</f>
        <v>2473418</v>
      </c>
      <c r="C90" s="57">
        <f>[1]anexo!C89</f>
        <v>344045</v>
      </c>
      <c r="D90" s="57" t="str">
        <f>[1]anexo!D89</f>
        <v xml:space="preserve"> 7228 PERUANO CANADIENSE</v>
      </c>
      <c r="E90" s="57" t="str">
        <f>[1]anexo!E89</f>
        <v>PREFABRICADO</v>
      </c>
      <c r="F90" s="57">
        <f>[1]anexo!F89</f>
        <v>7</v>
      </c>
      <c r="G90" s="57">
        <f>[1]anexo!G89</f>
        <v>13</v>
      </c>
      <c r="H90" s="56">
        <f>[1]anexo!J89</f>
        <v>45230</v>
      </c>
    </row>
    <row r="91" spans="1:8" s="47" customFormat="1" x14ac:dyDescent="0.25">
      <c r="A91" s="57">
        <f>[1]anexo!A90</f>
        <v>88</v>
      </c>
      <c r="B91" s="57">
        <f>[1]anexo!B90</f>
        <v>2473418</v>
      </c>
      <c r="C91" s="57">
        <f>[1]anexo!C90</f>
        <v>344045</v>
      </c>
      <c r="D91" s="57" t="str">
        <f>[1]anexo!D90</f>
        <v xml:space="preserve"> 7228 PERUANO CANADIENSE</v>
      </c>
      <c r="E91" s="57" t="str">
        <f>[1]anexo!E90</f>
        <v>PREFABRICADO</v>
      </c>
      <c r="F91" s="57">
        <f>[1]anexo!F90</f>
        <v>13</v>
      </c>
      <c r="G91" s="57">
        <f>[1]anexo!G90</f>
        <v>0</v>
      </c>
      <c r="H91" s="56">
        <f>[1]anexo!J90</f>
        <v>45230</v>
      </c>
    </row>
    <row r="92" spans="1:8" s="47" customFormat="1" x14ac:dyDescent="0.25">
      <c r="A92" s="57">
        <f>[1]anexo!A91</f>
        <v>89</v>
      </c>
      <c r="B92" s="57">
        <f>[1]anexo!B91</f>
        <v>2456100</v>
      </c>
      <c r="C92" s="57">
        <f>[1]anexo!C91</f>
        <v>296681</v>
      </c>
      <c r="D92" s="57" t="str">
        <f>[1]anexo!D91</f>
        <v xml:space="preserve"> 2025</v>
      </c>
      <c r="E92" s="57" t="str">
        <f>[1]anexo!E91</f>
        <v>PREFABRICADO</v>
      </c>
      <c r="F92" s="57">
        <f>[1]anexo!F91</f>
        <v>24</v>
      </c>
      <c r="G92" s="57">
        <f>[1]anexo!G91</f>
        <v>0</v>
      </c>
      <c r="H92" s="56">
        <f>[1]anexo!J91</f>
        <v>45209</v>
      </c>
    </row>
    <row r="93" spans="1:8" s="47" customFormat="1" x14ac:dyDescent="0.25">
      <c r="A93" s="57">
        <f>[1]anexo!A92</f>
        <v>90</v>
      </c>
      <c r="B93" s="57">
        <f>[1]anexo!B92</f>
        <v>2489076</v>
      </c>
      <c r="C93" s="57">
        <f>[1]anexo!C92</f>
        <v>502884</v>
      </c>
      <c r="D93" s="57" t="str">
        <f>[1]anexo!D92</f>
        <v xml:space="preserve"> FERNANDO CARBAJAL</v>
      </c>
      <c r="E93" s="57" t="str">
        <f>[1]anexo!E92</f>
        <v>PREFABRICADO</v>
      </c>
      <c r="F93" s="57">
        <f>[1]anexo!F92</f>
        <v>13</v>
      </c>
      <c r="G93" s="57">
        <f>[1]anexo!G92</f>
        <v>8</v>
      </c>
      <c r="H93" s="56">
        <f>[1]anexo!J92</f>
        <v>45229</v>
      </c>
    </row>
    <row r="94" spans="1:8" s="47" customFormat="1" ht="25.5" x14ac:dyDescent="0.25">
      <c r="A94" s="57">
        <f>[1]anexo!A93</f>
        <v>91</v>
      </c>
      <c r="B94" s="57">
        <f>[1]anexo!B93</f>
        <v>2482810</v>
      </c>
      <c r="C94" s="57" t="str">
        <f>[1]anexo!C93</f>
        <v>238219
238318</v>
      </c>
      <c r="D94" s="57" t="str">
        <f>[1]anexo!D93</f>
        <v xml:space="preserve"> 30571 SEIS DE AGOSTO /  SEIS DE AGOSTO</v>
      </c>
      <c r="E94" s="57" t="str">
        <f>[1]anexo!E93</f>
        <v>PREFABRICADO</v>
      </c>
      <c r="F94" s="57">
        <f>[1]anexo!F93</f>
        <v>25</v>
      </c>
      <c r="G94" s="57">
        <f>[1]anexo!G93</f>
        <v>3</v>
      </c>
      <c r="H94" s="56">
        <f>[1]anexo!J93</f>
        <v>45258</v>
      </c>
    </row>
    <row r="95" spans="1:8" s="47" customFormat="1" ht="38.25" x14ac:dyDescent="0.25">
      <c r="A95" s="57">
        <f>[1]anexo!A94</f>
        <v>92</v>
      </c>
      <c r="B95" s="57">
        <f>[1]anexo!B94</f>
        <v>2489023</v>
      </c>
      <c r="C95" s="57" t="str">
        <f>[1]anexo!C94</f>
        <v>248398
248402
248548</v>
      </c>
      <c r="D95" s="57" t="str">
        <f>[1]anexo!D94</f>
        <v xml:space="preserve"> 619 /  30001-3 19 DE ABRIL /  19 DE ABRIL</v>
      </c>
      <c r="E95" s="57" t="str">
        <f>[1]anexo!E94</f>
        <v>PREFABRICADO</v>
      </c>
      <c r="F95" s="57">
        <f>[1]anexo!F94</f>
        <v>27</v>
      </c>
      <c r="G95" s="57">
        <f>[1]anexo!G94</f>
        <v>0</v>
      </c>
      <c r="H95" s="56">
        <f>[1]anexo!J94</f>
        <v>45254</v>
      </c>
    </row>
    <row r="96" spans="1:8" s="47" customFormat="1" ht="25.5" x14ac:dyDescent="0.25">
      <c r="A96" s="57">
        <f>[1]anexo!A95</f>
        <v>93</v>
      </c>
      <c r="B96" s="57">
        <f>[1]anexo!B95</f>
        <v>2488994</v>
      </c>
      <c r="C96" s="57" t="str">
        <f>[1]anexo!C95</f>
        <v>399165
227579</v>
      </c>
      <c r="D96" s="57" t="str">
        <f>[1]anexo!D95</f>
        <v xml:space="preserve"> 9 DE JULIO</v>
      </c>
      <c r="E96" s="57" t="str">
        <f>[1]anexo!E95</f>
        <v>PREFABRICADO</v>
      </c>
      <c r="F96" s="57">
        <f>[1]anexo!F95</f>
        <v>6</v>
      </c>
      <c r="G96" s="57">
        <f>[1]anexo!G95</f>
        <v>25</v>
      </c>
      <c r="H96" s="56">
        <f>[1]anexo!J95</f>
        <v>45160</v>
      </c>
    </row>
    <row r="97" spans="1:8" s="47" customFormat="1" x14ac:dyDescent="0.25">
      <c r="A97" s="57">
        <f>[1]anexo!A96</f>
        <v>94</v>
      </c>
      <c r="B97" s="57">
        <f>[1]anexo!B96</f>
        <v>2483701</v>
      </c>
      <c r="C97" s="57">
        <f>[1]anexo!C96</f>
        <v>349496</v>
      </c>
      <c r="D97" s="57" t="str">
        <f>[1]anexo!D96</f>
        <v xml:space="preserve"> 21578</v>
      </c>
      <c r="E97" s="57" t="str">
        <f>[1]anexo!E96</f>
        <v>PREFABRICADO</v>
      </c>
      <c r="F97" s="57">
        <f>[1]anexo!F96</f>
        <v>10</v>
      </c>
      <c r="G97" s="57">
        <f>[1]anexo!G96</f>
        <v>0</v>
      </c>
      <c r="H97" s="56">
        <f>[1]anexo!J96</f>
        <v>45243</v>
      </c>
    </row>
    <row r="98" spans="1:8" s="47" customFormat="1" x14ac:dyDescent="0.25">
      <c r="A98" s="57">
        <f>[1]anexo!A97</f>
        <v>95</v>
      </c>
      <c r="B98" s="57">
        <f>[1]anexo!B97</f>
        <v>2483701</v>
      </c>
      <c r="C98" s="57">
        <f>[1]anexo!C97</f>
        <v>349496</v>
      </c>
      <c r="D98" s="57" t="str">
        <f>[1]anexo!D97</f>
        <v xml:space="preserve"> 21578</v>
      </c>
      <c r="E98" s="57" t="str">
        <f>[1]anexo!E97</f>
        <v>PREFABRICADO</v>
      </c>
      <c r="F98" s="57">
        <f>[1]anexo!F97</f>
        <v>0</v>
      </c>
      <c r="G98" s="57">
        <f>[1]anexo!G97</f>
        <v>0</v>
      </c>
      <c r="H98" s="56">
        <f>[1]anexo!J97</f>
        <v>45243</v>
      </c>
    </row>
    <row r="99" spans="1:8" s="47" customFormat="1" x14ac:dyDescent="0.25">
      <c r="A99" s="57">
        <f>[1]anexo!A98</f>
        <v>96</v>
      </c>
      <c r="B99" s="57">
        <f>[1]anexo!B98</f>
        <v>2483179</v>
      </c>
      <c r="C99" s="57">
        <f>[1]anexo!C98</f>
        <v>281745</v>
      </c>
      <c r="D99" s="57" t="str">
        <f>[1]anexo!D98</f>
        <v xml:space="preserve"> SANTA LUCIA</v>
      </c>
      <c r="E99" s="57" t="str">
        <f>[1]anexo!E98</f>
        <v>PREFABRICADO</v>
      </c>
      <c r="F99" s="57">
        <f>[1]anexo!F98</f>
        <v>28</v>
      </c>
      <c r="G99" s="57">
        <f>[1]anexo!G98</f>
        <v>0</v>
      </c>
      <c r="H99" s="56">
        <f>[1]anexo!J98</f>
        <v>45143</v>
      </c>
    </row>
    <row r="100" spans="1:8" s="47" customFormat="1" x14ac:dyDescent="0.25">
      <c r="A100" s="57">
        <f>[1]anexo!A99</f>
        <v>97</v>
      </c>
      <c r="B100" s="57">
        <f>[1]anexo!B99</f>
        <v>2488856</v>
      </c>
      <c r="C100" s="57">
        <f>[1]anexo!C99</f>
        <v>256133</v>
      </c>
      <c r="D100" s="57" t="str">
        <f>[1]anexo!D99</f>
        <v xml:space="preserve"> SANTO DOMINGO DE GUZMAN</v>
      </c>
      <c r="E100" s="57" t="str">
        <f>[1]anexo!E99</f>
        <v>PREFABRICADO</v>
      </c>
      <c r="F100" s="57">
        <f>[1]anexo!F99</f>
        <v>18</v>
      </c>
      <c r="G100" s="57">
        <f>[1]anexo!G99</f>
        <v>0</v>
      </c>
      <c r="H100" s="56">
        <f>[1]anexo!J99</f>
        <v>45181</v>
      </c>
    </row>
    <row r="101" spans="1:8" s="47" customFormat="1" x14ac:dyDescent="0.25">
      <c r="A101" s="57">
        <f>[1]anexo!A100</f>
        <v>98</v>
      </c>
      <c r="B101" s="57">
        <f>[1]anexo!B100</f>
        <v>2482024</v>
      </c>
      <c r="C101" s="57">
        <f>[1]anexo!C100</f>
        <v>131789</v>
      </c>
      <c r="D101" s="57" t="str">
        <f>[1]anexo!D100</f>
        <v xml:space="preserve"> SAN MARCOS  </v>
      </c>
      <c r="E101" s="57" t="str">
        <f>[1]anexo!E100</f>
        <v>PREFABRICADO</v>
      </c>
      <c r="F101" s="57">
        <f>[1]anexo!F100</f>
        <v>17</v>
      </c>
      <c r="G101" s="57">
        <f>[1]anexo!G100</f>
        <v>2</v>
      </c>
      <c r="H101" s="56">
        <f>[1]anexo!J100</f>
        <v>45177</v>
      </c>
    </row>
    <row r="102" spans="1:8" s="47" customFormat="1" x14ac:dyDescent="0.25">
      <c r="A102" s="57">
        <f>[1]anexo!A101</f>
        <v>99</v>
      </c>
      <c r="B102" s="57">
        <f>[1]anexo!B101</f>
        <v>2485232</v>
      </c>
      <c r="C102" s="57">
        <f>[1]anexo!C101</f>
        <v>150645</v>
      </c>
      <c r="D102" s="57" t="str">
        <f>[1]anexo!D101</f>
        <v>AGUSTÍN GAMARRA</v>
      </c>
      <c r="E102" s="57" t="str">
        <f>[1]anexo!E101</f>
        <v>PREFABRICADO</v>
      </c>
      <c r="F102" s="57">
        <f>[1]anexo!F101</f>
        <v>9</v>
      </c>
      <c r="G102" s="57">
        <f>[1]anexo!G101</f>
        <v>4</v>
      </c>
      <c r="H102" s="56">
        <f>[1]anexo!J101</f>
        <v>45352</v>
      </c>
    </row>
    <row r="103" spans="1:8" s="47" customFormat="1" x14ac:dyDescent="0.25">
      <c r="A103" s="57">
        <f>[1]anexo!A102</f>
        <v>100</v>
      </c>
      <c r="B103" s="57">
        <f>[1]anexo!B102</f>
        <v>2485232</v>
      </c>
      <c r="C103" s="57">
        <f>[1]anexo!C102</f>
        <v>150645</v>
      </c>
      <c r="D103" s="57" t="str">
        <f>[1]anexo!D102</f>
        <v>AGUSTÍN GAMARRA</v>
      </c>
      <c r="E103" s="57" t="str">
        <f>[1]anexo!E102</f>
        <v>PREFABRICADO</v>
      </c>
      <c r="F103" s="57">
        <f>[1]anexo!F102</f>
        <v>1</v>
      </c>
      <c r="G103" s="57">
        <f>[1]anexo!G102</f>
        <v>0</v>
      </c>
      <c r="H103" s="56">
        <f>[1]anexo!J102</f>
        <v>45352</v>
      </c>
    </row>
    <row r="104" spans="1:8" s="47" customFormat="1" x14ac:dyDescent="0.25">
      <c r="A104" s="57">
        <f>[1]anexo!A103</f>
        <v>101</v>
      </c>
      <c r="B104" s="57">
        <f>[1]anexo!B103</f>
        <v>2488993</v>
      </c>
      <c r="C104" s="57">
        <f>[1]anexo!C103</f>
        <v>451040</v>
      </c>
      <c r="D104" s="57" t="str">
        <f>[1]anexo!D103</f>
        <v xml:space="preserve"> TELÉSFORO CATACORA</v>
      </c>
      <c r="E104" s="57" t="str">
        <f>[1]anexo!E103</f>
        <v>PREFABRICADO</v>
      </c>
      <c r="F104" s="57">
        <f>[1]anexo!F103</f>
        <v>8</v>
      </c>
      <c r="G104" s="57">
        <f>[1]anexo!G103</f>
        <v>2</v>
      </c>
      <c r="H104" s="56">
        <f>[1]anexo!J103</f>
        <v>45341</v>
      </c>
    </row>
    <row r="105" spans="1:8" s="47" customFormat="1" x14ac:dyDescent="0.25">
      <c r="A105" s="57">
        <f>[1]anexo!A104</f>
        <v>102</v>
      </c>
      <c r="B105" s="57">
        <f>[1]anexo!B104</f>
        <v>2489002</v>
      </c>
      <c r="C105" s="57">
        <f>[1]anexo!C104</f>
        <v>467970</v>
      </c>
      <c r="D105" s="57" t="str">
        <f>[1]anexo!D104</f>
        <v xml:space="preserve"> JOSÉ GÁLVEZ /  301 JOSÉ GÁLVEZ</v>
      </c>
      <c r="E105" s="57" t="str">
        <f>[1]anexo!E104</f>
        <v>PREFABRICADO</v>
      </c>
      <c r="F105" s="57">
        <f>[1]anexo!F104</f>
        <v>5</v>
      </c>
      <c r="G105" s="57">
        <f>[1]anexo!G104</f>
        <v>7</v>
      </c>
      <c r="H105" s="56">
        <f>[1]anexo!J104</f>
        <v>45344</v>
      </c>
    </row>
    <row r="106" spans="1:8" s="47" customFormat="1" x14ac:dyDescent="0.25">
      <c r="A106" s="57">
        <f>[1]anexo!A105</f>
        <v>103</v>
      </c>
      <c r="B106" s="57">
        <f>[1]anexo!B105</f>
        <v>2489002</v>
      </c>
      <c r="C106" s="57">
        <f>[1]anexo!C105</f>
        <v>467970</v>
      </c>
      <c r="D106" s="57" t="str">
        <f>[1]anexo!D105</f>
        <v xml:space="preserve"> JOSÉ GÁLVEZ /  301 JOSÉ GÁLVEZ</v>
      </c>
      <c r="E106" s="57" t="str">
        <f>[1]anexo!E105</f>
        <v>PREFABRICADO</v>
      </c>
      <c r="F106" s="57">
        <f>[1]anexo!F105</f>
        <v>7</v>
      </c>
      <c r="G106" s="57">
        <f>[1]anexo!G105</f>
        <v>1</v>
      </c>
      <c r="H106" s="56">
        <f>[1]anexo!J105</f>
        <v>45344</v>
      </c>
    </row>
    <row r="107" spans="1:8" s="47" customFormat="1" ht="25.5" x14ac:dyDescent="0.25">
      <c r="A107" s="57">
        <f>[1]anexo!A106</f>
        <v>104</v>
      </c>
      <c r="B107" s="57">
        <f>[1]anexo!B106</f>
        <v>2489010</v>
      </c>
      <c r="C107" s="57" t="str">
        <f>[1]anexo!C106</f>
        <v>451337 / 675931</v>
      </c>
      <c r="D107" s="57" t="str">
        <f>[1]anexo!D106</f>
        <v xml:space="preserve"> TAWANTINSUYO /  769</v>
      </c>
      <c r="E107" s="57" t="str">
        <f>[1]anexo!E106</f>
        <v>PREFABRICADO</v>
      </c>
      <c r="F107" s="57">
        <f>[1]anexo!F106</f>
        <v>15</v>
      </c>
      <c r="G107" s="57">
        <f>[1]anexo!G106</f>
        <v>3</v>
      </c>
      <c r="H107" s="56">
        <f>[1]anexo!J106</f>
        <v>45343</v>
      </c>
    </row>
    <row r="108" spans="1:8" s="47" customFormat="1" ht="25.5" x14ac:dyDescent="0.25">
      <c r="A108" s="57">
        <f>[1]anexo!A107</f>
        <v>105</v>
      </c>
      <c r="B108" s="57">
        <f>[1]anexo!B107</f>
        <v>2489010</v>
      </c>
      <c r="C108" s="57" t="str">
        <f>[1]anexo!C107</f>
        <v>451337 / 675931</v>
      </c>
      <c r="D108" s="57" t="str">
        <f>[1]anexo!D107</f>
        <v xml:space="preserve"> TAWANTINSUYO /  769</v>
      </c>
      <c r="E108" s="57" t="str">
        <f>[1]anexo!E107</f>
        <v>PREFABRICADO</v>
      </c>
      <c r="F108" s="57">
        <f>[1]anexo!F107</f>
        <v>5</v>
      </c>
      <c r="G108" s="57">
        <f>[1]anexo!G107</f>
        <v>1</v>
      </c>
      <c r="H108" s="56">
        <f>[1]anexo!J107</f>
        <v>45343</v>
      </c>
    </row>
    <row r="109" spans="1:8" s="47" customFormat="1" x14ac:dyDescent="0.25">
      <c r="A109" s="57">
        <f>[1]anexo!A108</f>
        <v>106</v>
      </c>
      <c r="B109" s="57">
        <f>[1]anexo!B108</f>
        <v>2480537</v>
      </c>
      <c r="C109" s="57">
        <f>[1]anexo!C108</f>
        <v>448972</v>
      </c>
      <c r="D109" s="57" t="str">
        <f>[1]anexo!D108</f>
        <v xml:space="preserve"> 73002 GLORIOSO 821</v>
      </c>
      <c r="E109" s="57" t="str">
        <f>[1]anexo!E108</f>
        <v>PREFABRICADO</v>
      </c>
      <c r="F109" s="57">
        <f>[1]anexo!F108</f>
        <v>6</v>
      </c>
      <c r="G109" s="57">
        <f>[1]anexo!G108</f>
        <v>8</v>
      </c>
      <c r="H109" s="56">
        <f>[1]anexo!J108</f>
        <v>45342</v>
      </c>
    </row>
    <row r="110" spans="1:8" s="47" customFormat="1" x14ac:dyDescent="0.25">
      <c r="A110" s="57">
        <f>[1]anexo!A109</f>
        <v>107</v>
      </c>
      <c r="B110" s="57">
        <f>[1]anexo!B109</f>
        <v>2480537</v>
      </c>
      <c r="C110" s="57">
        <f>[1]anexo!C109</f>
        <v>448972</v>
      </c>
      <c r="D110" s="57" t="str">
        <f>[1]anexo!D109</f>
        <v xml:space="preserve"> 73002 GLORIOSO 821</v>
      </c>
      <c r="E110" s="57" t="str">
        <f>[1]anexo!E109</f>
        <v>PREFABRICADO</v>
      </c>
      <c r="F110" s="57">
        <f>[1]anexo!F109</f>
        <v>0</v>
      </c>
      <c r="G110" s="57">
        <f>[1]anexo!G109</f>
        <v>0</v>
      </c>
      <c r="H110" s="56">
        <f>[1]anexo!J109</f>
        <v>45342</v>
      </c>
    </row>
    <row r="111" spans="1:8" s="47" customFormat="1" x14ac:dyDescent="0.25">
      <c r="A111" s="57">
        <f>[1]anexo!A110</f>
        <v>108</v>
      </c>
      <c r="B111" s="57">
        <f>[1]anexo!B110</f>
        <v>2480603</v>
      </c>
      <c r="C111" s="57">
        <f>[1]anexo!C110</f>
        <v>445723</v>
      </c>
      <c r="D111" s="57" t="str">
        <f>[1]anexo!D110</f>
        <v xml:space="preserve"> PEDRO VILCAPAZA</v>
      </c>
      <c r="E111" s="57" t="str">
        <f>[1]anexo!E110</f>
        <v>PREFABRICADO</v>
      </c>
      <c r="F111" s="57">
        <f>[1]anexo!F110</f>
        <v>15</v>
      </c>
      <c r="G111" s="57">
        <f>[1]anexo!G110</f>
        <v>7</v>
      </c>
      <c r="H111" s="56">
        <f>[1]anexo!J110</f>
        <v>45350</v>
      </c>
    </row>
    <row r="112" spans="1:8" s="47" customFormat="1" x14ac:dyDescent="0.25">
      <c r="A112" s="60">
        <f>[1]anexo!A111</f>
        <v>109</v>
      </c>
      <c r="B112" s="57">
        <f>[1]anexo!B111</f>
        <v>2480681</v>
      </c>
      <c r="C112" s="57">
        <f>[1]anexo!C111</f>
        <v>455444</v>
      </c>
      <c r="D112" s="57" t="str">
        <f>[1]anexo!D111</f>
        <v xml:space="preserve"> VARONES</v>
      </c>
      <c r="E112" s="60" t="str">
        <f>[1]anexo!E111</f>
        <v>PREFABRICADO</v>
      </c>
      <c r="F112" s="60">
        <f>[1]anexo!F111</f>
        <v>5</v>
      </c>
      <c r="G112" s="60">
        <f>[1]anexo!G111</f>
        <v>16</v>
      </c>
      <c r="H112" s="64">
        <f>[1]anexo!J111</f>
        <v>45345</v>
      </c>
    </row>
    <row r="113" spans="1:8" ht="12.75" customHeight="1" x14ac:dyDescent="0.25">
      <c r="A113" s="58">
        <v>110</v>
      </c>
      <c r="B113" s="59">
        <v>2676187</v>
      </c>
      <c r="C113" s="16">
        <v>438529</v>
      </c>
      <c r="D113" s="63" t="s">
        <v>112</v>
      </c>
      <c r="E113" s="61" t="s">
        <v>138</v>
      </c>
      <c r="F113" s="61"/>
      <c r="G113" s="62"/>
      <c r="H113" s="62"/>
    </row>
    <row r="114" spans="1:8" ht="12.75" customHeight="1" x14ac:dyDescent="0.25">
      <c r="A114" s="58">
        <v>111</v>
      </c>
      <c r="B114" s="59">
        <v>2501911</v>
      </c>
      <c r="C114" s="16">
        <v>400079</v>
      </c>
      <c r="D114" s="63" t="s">
        <v>117</v>
      </c>
      <c r="E114" s="61" t="s">
        <v>138</v>
      </c>
      <c r="F114" s="61"/>
      <c r="G114" s="62"/>
      <c r="H114" s="62"/>
    </row>
    <row r="115" spans="1:8" ht="12.75" customHeight="1" x14ac:dyDescent="0.25">
      <c r="A115" s="58">
        <v>112</v>
      </c>
      <c r="B115" s="59">
        <v>2503951</v>
      </c>
      <c r="C115" s="16">
        <v>408792</v>
      </c>
      <c r="D115" s="63" t="s">
        <v>118</v>
      </c>
      <c r="E115" s="61" t="s">
        <v>138</v>
      </c>
      <c r="F115" s="61"/>
      <c r="G115" s="62"/>
      <c r="H115" s="62"/>
    </row>
    <row r="116" spans="1:8" ht="12.75" customHeight="1" x14ac:dyDescent="0.25">
      <c r="A116" s="58">
        <v>113</v>
      </c>
      <c r="B116" s="59">
        <v>2502170</v>
      </c>
      <c r="C116" s="16">
        <v>373373</v>
      </c>
      <c r="D116" s="63" t="s">
        <v>119</v>
      </c>
      <c r="E116" s="61" t="s">
        <v>138</v>
      </c>
      <c r="F116" s="61"/>
      <c r="G116" s="62"/>
      <c r="H116" s="62"/>
    </row>
    <row r="117" spans="1:8" ht="12.75" customHeight="1" x14ac:dyDescent="0.25">
      <c r="A117" s="58">
        <v>114</v>
      </c>
      <c r="B117" s="59">
        <v>2664615</v>
      </c>
      <c r="C117" s="16">
        <v>804301</v>
      </c>
      <c r="D117" s="63" t="s">
        <v>120</v>
      </c>
      <c r="E117" s="61" t="s">
        <v>138</v>
      </c>
      <c r="F117" s="61"/>
      <c r="G117" s="62"/>
      <c r="H117" s="62"/>
    </row>
    <row r="118" spans="1:8" ht="12.75" customHeight="1" x14ac:dyDescent="0.25">
      <c r="A118" s="58">
        <v>117</v>
      </c>
      <c r="B118" s="59">
        <v>2673309</v>
      </c>
      <c r="C118" s="16">
        <v>12060</v>
      </c>
      <c r="D118" s="63" t="s">
        <v>124</v>
      </c>
      <c r="E118" s="61" t="s">
        <v>138</v>
      </c>
      <c r="F118" s="61"/>
      <c r="G118" s="62"/>
      <c r="H118" s="62"/>
    </row>
    <row r="119" spans="1:8" ht="12.75" customHeight="1" x14ac:dyDescent="0.25">
      <c r="A119" s="58">
        <v>118</v>
      </c>
      <c r="B119" s="59">
        <v>2498863</v>
      </c>
      <c r="C119" s="16">
        <v>94895</v>
      </c>
      <c r="D119" s="63" t="s">
        <v>125</v>
      </c>
      <c r="E119" s="61" t="s">
        <v>138</v>
      </c>
      <c r="F119" s="61"/>
      <c r="G119" s="62"/>
      <c r="H119" s="62"/>
    </row>
    <row r="120" spans="1:8" ht="12.75" customHeight="1" x14ac:dyDescent="0.25">
      <c r="A120" s="58">
        <v>119</v>
      </c>
      <c r="B120" s="59">
        <v>2198272</v>
      </c>
      <c r="C120" s="16">
        <v>76472</v>
      </c>
      <c r="D120" s="63" t="s">
        <v>127</v>
      </c>
      <c r="E120" s="61" t="s">
        <v>138</v>
      </c>
      <c r="F120" s="61"/>
      <c r="G120" s="62"/>
      <c r="H120" s="62"/>
    </row>
    <row r="121" spans="1:8" ht="12.75" customHeight="1" x14ac:dyDescent="0.25">
      <c r="A121" s="58">
        <v>125</v>
      </c>
      <c r="B121" s="59">
        <v>2671309</v>
      </c>
      <c r="C121" s="16">
        <v>256864</v>
      </c>
      <c r="D121" s="63" t="s">
        <v>134</v>
      </c>
      <c r="E121" s="61" t="s">
        <v>138</v>
      </c>
      <c r="F121" s="61"/>
      <c r="G121" s="62"/>
      <c r="H121" s="62"/>
    </row>
    <row r="122" spans="1:8" ht="12.75" customHeight="1" x14ac:dyDescent="0.25">
      <c r="A122" s="58">
        <v>126</v>
      </c>
      <c r="B122" s="59">
        <v>2502642</v>
      </c>
      <c r="C122" s="16">
        <v>350362</v>
      </c>
      <c r="D122" s="63" t="s">
        <v>135</v>
      </c>
      <c r="E122" s="61" t="s">
        <v>138</v>
      </c>
      <c r="F122" s="61"/>
      <c r="G122" s="62"/>
      <c r="H122" s="62"/>
    </row>
  </sheetData>
  <autoFilter ref="A3:H122" xr:uid="{A043E1EF-C5E1-C54B-82CC-FC9CFB6E2351}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2BD9-DCB4-944D-9EF2-0F5B6D7FB6B8}">
  <dimension ref="A1:W28"/>
  <sheetViews>
    <sheetView tabSelected="1"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29" sqref="F29"/>
    </sheetView>
  </sheetViews>
  <sheetFormatPr baseColWidth="10" defaultColWidth="9.140625" defaultRowHeight="12.75" x14ac:dyDescent="0.25"/>
  <cols>
    <col min="1" max="1" width="7.42578125" style="1" bestFit="1" customWidth="1"/>
    <col min="2" max="2" width="11.42578125" style="1" customWidth="1"/>
    <col min="3" max="3" width="42.85546875" style="1" customWidth="1"/>
    <col min="4" max="5" width="15.7109375" style="1" customWidth="1"/>
    <col min="6" max="6" width="27.85546875" style="1" customWidth="1"/>
    <col min="7" max="17" width="15.7109375" style="1" customWidth="1"/>
    <col min="18" max="18" width="41.140625" style="1" customWidth="1"/>
    <col min="19" max="20" width="17.140625" style="4" customWidth="1"/>
    <col min="21" max="22" width="17.42578125" style="11" customWidth="1"/>
    <col min="23" max="23" width="47" style="1" customWidth="1"/>
    <col min="24" max="16384" width="9.140625" style="1"/>
  </cols>
  <sheetData>
    <row r="1" spans="1:23" ht="30" customHeight="1" thickBot="1" x14ac:dyDescent="0.3">
      <c r="A1" s="65" t="s">
        <v>139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7"/>
    </row>
    <row r="3" spans="1:23" ht="135" customHeight="1" x14ac:dyDescent="0.25">
      <c r="A3" s="5" t="s">
        <v>1</v>
      </c>
      <c r="B3" s="5" t="s">
        <v>3</v>
      </c>
      <c r="C3" s="5" t="s">
        <v>140</v>
      </c>
      <c r="D3" s="5" t="s">
        <v>141</v>
      </c>
      <c r="E3" s="5" t="s">
        <v>142</v>
      </c>
      <c r="F3" s="51" t="s">
        <v>143</v>
      </c>
      <c r="G3" s="5" t="s">
        <v>144</v>
      </c>
      <c r="H3" s="5" t="s">
        <v>145</v>
      </c>
      <c r="I3" s="5" t="s">
        <v>146</v>
      </c>
      <c r="J3" s="5" t="s">
        <v>147</v>
      </c>
      <c r="K3" s="5" t="s">
        <v>148</v>
      </c>
      <c r="L3" s="5" t="s">
        <v>149</v>
      </c>
      <c r="M3" s="5" t="s">
        <v>150</v>
      </c>
      <c r="N3" s="5" t="s">
        <v>151</v>
      </c>
      <c r="O3" s="5" t="s">
        <v>152</v>
      </c>
      <c r="P3" s="5" t="s">
        <v>153</v>
      </c>
      <c r="Q3" s="5" t="s">
        <v>154</v>
      </c>
      <c r="R3" s="13" t="s">
        <v>155</v>
      </c>
      <c r="S3" s="6" t="s">
        <v>156</v>
      </c>
      <c r="T3" s="6" t="s">
        <v>157</v>
      </c>
      <c r="U3" s="7" t="s">
        <v>158</v>
      </c>
      <c r="V3" s="7" t="s">
        <v>159</v>
      </c>
      <c r="W3" s="5" t="s">
        <v>16</v>
      </c>
    </row>
    <row r="4" spans="1:23" x14ac:dyDescent="0.25">
      <c r="A4" s="2">
        <v>1</v>
      </c>
      <c r="B4" s="2">
        <v>2465303</v>
      </c>
      <c r="C4" s="15" t="s">
        <v>160</v>
      </c>
      <c r="D4" s="2" t="s">
        <v>22</v>
      </c>
      <c r="E4" s="18"/>
      <c r="F4" s="18"/>
      <c r="G4" s="18">
        <v>245014.47</v>
      </c>
      <c r="H4" s="18">
        <v>245014.47</v>
      </c>
      <c r="I4" s="18">
        <f>+H4/12*3</f>
        <v>61253.617500000008</v>
      </c>
      <c r="J4" s="18"/>
      <c r="K4" s="18">
        <v>344058.55</v>
      </c>
      <c r="L4" s="49">
        <f>+K4</f>
        <v>344058.55</v>
      </c>
      <c r="M4" s="2">
        <f>+L4/2</f>
        <v>172029.27499999999</v>
      </c>
      <c r="N4" s="2"/>
      <c r="O4" s="17"/>
      <c r="P4" s="2"/>
      <c r="Q4" s="2"/>
      <c r="R4" s="2" t="s">
        <v>161</v>
      </c>
      <c r="S4" s="46">
        <v>0</v>
      </c>
      <c r="T4" s="19">
        <v>2024</v>
      </c>
      <c r="U4" s="12">
        <v>45819</v>
      </c>
      <c r="V4" s="12">
        <v>46813</v>
      </c>
      <c r="W4" s="3" t="s">
        <v>162</v>
      </c>
    </row>
    <row r="5" spans="1:23" x14ac:dyDescent="0.25">
      <c r="A5" s="2">
        <v>2</v>
      </c>
      <c r="B5" s="2">
        <v>2475493</v>
      </c>
      <c r="C5" s="15" t="s">
        <v>163</v>
      </c>
      <c r="D5" s="2" t="s">
        <v>22</v>
      </c>
      <c r="E5" s="18"/>
      <c r="F5" s="18"/>
      <c r="G5" s="18">
        <v>365311.43</v>
      </c>
      <c r="H5" s="18">
        <v>365311.43</v>
      </c>
      <c r="I5" s="18">
        <f>+H5/12*3</f>
        <v>91327.857499999998</v>
      </c>
      <c r="J5" s="18"/>
      <c r="K5" s="18">
        <v>469471.54</v>
      </c>
      <c r="L5" s="50">
        <f>+K5</f>
        <v>469471.54</v>
      </c>
      <c r="M5" s="2">
        <f>+L5/2</f>
        <v>234735.77</v>
      </c>
      <c r="N5" s="2"/>
      <c r="O5" s="17"/>
      <c r="P5" s="2"/>
      <c r="Q5" s="2"/>
      <c r="R5" s="2" t="s">
        <v>161</v>
      </c>
      <c r="S5" s="46">
        <v>0</v>
      </c>
      <c r="T5" s="19">
        <v>2024</v>
      </c>
      <c r="U5" s="12">
        <v>45819</v>
      </c>
      <c r="V5" s="12">
        <v>46813</v>
      </c>
      <c r="W5" s="3" t="s">
        <v>162</v>
      </c>
    </row>
    <row r="6" spans="1:23" x14ac:dyDescent="0.25">
      <c r="A6" s="2">
        <v>3</v>
      </c>
      <c r="B6" s="2">
        <v>2488285</v>
      </c>
      <c r="C6" s="15" t="s">
        <v>164</v>
      </c>
      <c r="D6" s="2" t="s">
        <v>22</v>
      </c>
      <c r="E6" s="18"/>
      <c r="F6" s="18"/>
      <c r="G6" s="18">
        <v>405598.37</v>
      </c>
      <c r="H6" s="18">
        <v>405598.37</v>
      </c>
      <c r="I6" s="18">
        <f>+H6/12*3</f>
        <v>101399.5925</v>
      </c>
      <c r="J6" s="18"/>
      <c r="K6" s="18">
        <v>511471.81</v>
      </c>
      <c r="L6" s="50">
        <f>+K6</f>
        <v>511471.81</v>
      </c>
      <c r="M6" s="2">
        <f>+L6/2</f>
        <v>255735.905</v>
      </c>
      <c r="N6" s="2"/>
      <c r="O6" s="17"/>
      <c r="P6" s="2"/>
      <c r="Q6" s="2"/>
      <c r="R6" s="2" t="s">
        <v>161</v>
      </c>
      <c r="S6" s="46">
        <v>0</v>
      </c>
      <c r="T6" s="19">
        <v>2024</v>
      </c>
      <c r="U6" s="12">
        <v>45819</v>
      </c>
      <c r="V6" s="12">
        <v>46813</v>
      </c>
      <c r="W6" s="3" t="s">
        <v>162</v>
      </c>
    </row>
    <row r="7" spans="1:23" x14ac:dyDescent="0.25">
      <c r="A7" s="2">
        <v>4</v>
      </c>
      <c r="B7" s="2">
        <v>2488285</v>
      </c>
      <c r="C7" s="15" t="s">
        <v>165</v>
      </c>
      <c r="D7" s="2" t="s">
        <v>22</v>
      </c>
      <c r="E7" s="18"/>
      <c r="F7" s="18"/>
      <c r="G7" s="18">
        <v>438373.19</v>
      </c>
      <c r="H7" s="18">
        <v>438373.19</v>
      </c>
      <c r="I7" s="18">
        <f>+H7/12*3</f>
        <v>109593.2975</v>
      </c>
      <c r="J7" s="18"/>
      <c r="K7" s="18">
        <v>634264.53</v>
      </c>
      <c r="L7" s="50">
        <f>+K7</f>
        <v>634264.53</v>
      </c>
      <c r="M7" s="2">
        <f>+L7/2</f>
        <v>317132.26500000001</v>
      </c>
      <c r="N7" s="2"/>
      <c r="O7" s="17"/>
      <c r="P7" s="2"/>
      <c r="Q7" s="2"/>
      <c r="R7" s="2" t="s">
        <v>161</v>
      </c>
      <c r="S7" s="46">
        <v>0</v>
      </c>
      <c r="T7" s="19">
        <v>2024</v>
      </c>
      <c r="U7" s="12">
        <v>45819</v>
      </c>
      <c r="V7" s="12">
        <v>46813</v>
      </c>
      <c r="W7" s="3" t="s">
        <v>162</v>
      </c>
    </row>
    <row r="8" spans="1:23" x14ac:dyDescent="0.25">
      <c r="A8" s="2">
        <v>16</v>
      </c>
      <c r="B8" s="23">
        <v>2457878</v>
      </c>
      <c r="C8" s="15" t="s">
        <v>166</v>
      </c>
      <c r="D8" s="2" t="s">
        <v>22</v>
      </c>
      <c r="E8" s="17"/>
      <c r="F8" s="18"/>
      <c r="G8" s="26">
        <v>443448.39</v>
      </c>
      <c r="H8" s="18">
        <v>443448.39</v>
      </c>
      <c r="I8" s="18">
        <f t="shared" ref="I8:I15" si="0">+H8/12*3</f>
        <v>110862.0975</v>
      </c>
      <c r="J8" s="18"/>
      <c r="K8" s="18">
        <v>516568.69</v>
      </c>
      <c r="L8" s="50">
        <f t="shared" ref="L8:L15" si="1">+K8</f>
        <v>516568.69</v>
      </c>
      <c r="M8" s="2">
        <f t="shared" ref="M8:M15" si="2">+L8/2</f>
        <v>258284.345</v>
      </c>
      <c r="N8" s="2"/>
      <c r="O8" s="17"/>
      <c r="P8" s="2"/>
      <c r="Q8" s="2"/>
      <c r="R8" s="2" t="s">
        <v>161</v>
      </c>
      <c r="S8" s="46">
        <v>0</v>
      </c>
      <c r="T8" s="19">
        <v>2025</v>
      </c>
      <c r="U8" s="12">
        <v>46032</v>
      </c>
      <c r="V8" s="12">
        <v>46813</v>
      </c>
      <c r="W8" s="3" t="s">
        <v>162</v>
      </c>
    </row>
    <row r="9" spans="1:23" x14ac:dyDescent="0.25">
      <c r="A9" s="2">
        <v>17</v>
      </c>
      <c r="B9" s="23">
        <v>2461341</v>
      </c>
      <c r="C9" s="15" t="s">
        <v>167</v>
      </c>
      <c r="D9" s="2" t="s">
        <v>22</v>
      </c>
      <c r="E9" s="17"/>
      <c r="F9" s="18"/>
      <c r="G9" s="26">
        <v>386946.03</v>
      </c>
      <c r="H9" s="18">
        <v>386946.03</v>
      </c>
      <c r="I9" s="18">
        <f t="shared" si="0"/>
        <v>96736.507500000007</v>
      </c>
      <c r="J9" s="18"/>
      <c r="K9" s="18">
        <v>620446.98</v>
      </c>
      <c r="L9" s="50">
        <f t="shared" si="1"/>
        <v>620446.98</v>
      </c>
      <c r="M9" s="2">
        <f t="shared" si="2"/>
        <v>310223.49</v>
      </c>
      <c r="N9" s="2"/>
      <c r="O9" s="17"/>
      <c r="P9" s="2"/>
      <c r="Q9" s="2"/>
      <c r="R9" s="2" t="s">
        <v>161</v>
      </c>
      <c r="S9" s="46">
        <v>0</v>
      </c>
      <c r="T9" s="19">
        <v>2025</v>
      </c>
      <c r="U9" s="12">
        <v>46032</v>
      </c>
      <c r="V9" s="12">
        <v>46813</v>
      </c>
      <c r="W9" s="3" t="s">
        <v>162</v>
      </c>
    </row>
    <row r="10" spans="1:23" x14ac:dyDescent="0.25">
      <c r="A10" s="2">
        <v>18</v>
      </c>
      <c r="B10" s="23">
        <v>2468688</v>
      </c>
      <c r="C10" s="15" t="s">
        <v>168</v>
      </c>
      <c r="D10" s="2" t="s">
        <v>22</v>
      </c>
      <c r="E10" s="17"/>
      <c r="F10" s="18"/>
      <c r="G10" s="26">
        <v>925947.16</v>
      </c>
      <c r="H10" s="18">
        <v>925947.16</v>
      </c>
      <c r="I10" s="18">
        <f t="shared" si="0"/>
        <v>231486.79</v>
      </c>
      <c r="J10" s="18"/>
      <c r="K10" s="18">
        <v>1453676.9</v>
      </c>
      <c r="L10" s="50">
        <f t="shared" si="1"/>
        <v>1453676.9</v>
      </c>
      <c r="M10" s="2">
        <f t="shared" si="2"/>
        <v>726838.45</v>
      </c>
      <c r="N10" s="2"/>
      <c r="O10" s="2"/>
      <c r="P10" s="2"/>
      <c r="Q10" s="2"/>
      <c r="R10" s="2" t="s">
        <v>161</v>
      </c>
      <c r="S10" s="46">
        <v>0</v>
      </c>
      <c r="T10" s="19">
        <v>2025</v>
      </c>
      <c r="U10" s="12">
        <v>46032</v>
      </c>
      <c r="V10" s="12">
        <v>46813</v>
      </c>
      <c r="W10" s="3" t="s">
        <v>162</v>
      </c>
    </row>
    <row r="11" spans="1:23" x14ac:dyDescent="0.25">
      <c r="A11" s="2">
        <v>19</v>
      </c>
      <c r="B11" s="23">
        <v>2485212</v>
      </c>
      <c r="C11" s="15" t="s">
        <v>169</v>
      </c>
      <c r="D11" s="2" t="s">
        <v>22</v>
      </c>
      <c r="E11" s="17"/>
      <c r="F11" s="18"/>
      <c r="G11" s="26">
        <v>527451.5</v>
      </c>
      <c r="H11" s="18">
        <v>527451.5</v>
      </c>
      <c r="I11" s="18">
        <f t="shared" si="0"/>
        <v>131862.875</v>
      </c>
      <c r="J11" s="18"/>
      <c r="K11" s="18">
        <v>929711.5</v>
      </c>
      <c r="L11" s="50">
        <f t="shared" si="1"/>
        <v>929711.5</v>
      </c>
      <c r="M11" s="2">
        <f t="shared" si="2"/>
        <v>464855.75</v>
      </c>
      <c r="N11" s="2"/>
      <c r="O11" s="2"/>
      <c r="P11" s="2"/>
      <c r="Q11" s="2"/>
      <c r="R11" s="2" t="s">
        <v>161</v>
      </c>
      <c r="S11" s="46">
        <v>0</v>
      </c>
      <c r="T11" s="19">
        <v>2025</v>
      </c>
      <c r="U11" s="12">
        <v>46032</v>
      </c>
      <c r="V11" s="12">
        <v>46813</v>
      </c>
      <c r="W11" s="3" t="s">
        <v>162</v>
      </c>
    </row>
    <row r="12" spans="1:23" x14ac:dyDescent="0.25">
      <c r="A12" s="2">
        <v>20</v>
      </c>
      <c r="B12" s="23">
        <v>2475706</v>
      </c>
      <c r="C12" s="15" t="s">
        <v>170</v>
      </c>
      <c r="D12" s="2" t="s">
        <v>22</v>
      </c>
      <c r="E12" s="17"/>
      <c r="F12" s="18"/>
      <c r="G12" s="26">
        <v>551198.48</v>
      </c>
      <c r="H12" s="18">
        <v>551198.48</v>
      </c>
      <c r="I12" s="18">
        <f t="shared" si="0"/>
        <v>137799.62</v>
      </c>
      <c r="J12" s="18"/>
      <c r="K12" s="18">
        <v>683162.4</v>
      </c>
      <c r="L12" s="50">
        <f t="shared" si="1"/>
        <v>683162.4</v>
      </c>
      <c r="M12" s="2">
        <f t="shared" si="2"/>
        <v>341581.2</v>
      </c>
      <c r="N12" s="2"/>
      <c r="O12" s="2"/>
      <c r="P12" s="2"/>
      <c r="Q12" s="2"/>
      <c r="R12" s="2" t="s">
        <v>161</v>
      </c>
      <c r="S12" s="46">
        <v>0</v>
      </c>
      <c r="T12" s="19">
        <v>2025</v>
      </c>
      <c r="U12" s="12">
        <v>46032</v>
      </c>
      <c r="V12" s="12">
        <v>46813</v>
      </c>
      <c r="W12" s="3" t="s">
        <v>162</v>
      </c>
    </row>
    <row r="13" spans="1:23" x14ac:dyDescent="0.25">
      <c r="A13" s="2">
        <v>21</v>
      </c>
      <c r="B13" s="23">
        <v>2475674</v>
      </c>
      <c r="C13" s="15" t="s">
        <v>171</v>
      </c>
      <c r="D13" s="2" t="s">
        <v>22</v>
      </c>
      <c r="E13" s="17"/>
      <c r="F13" s="18"/>
      <c r="G13" s="26">
        <v>486713.03</v>
      </c>
      <c r="H13" s="18">
        <v>486713.03</v>
      </c>
      <c r="I13" s="18">
        <f t="shared" si="0"/>
        <v>121678.25750000001</v>
      </c>
      <c r="J13" s="18"/>
      <c r="K13" s="18">
        <v>561673.29</v>
      </c>
      <c r="L13" s="50">
        <f t="shared" si="1"/>
        <v>561673.29</v>
      </c>
      <c r="M13" s="2">
        <f t="shared" si="2"/>
        <v>280836.64500000002</v>
      </c>
      <c r="N13" s="2"/>
      <c r="O13" s="2"/>
      <c r="P13" s="2"/>
      <c r="Q13" s="2"/>
      <c r="R13" s="2" t="s">
        <v>161</v>
      </c>
      <c r="S13" s="46">
        <v>0</v>
      </c>
      <c r="T13" s="19">
        <v>2025</v>
      </c>
      <c r="U13" s="12">
        <v>46032</v>
      </c>
      <c r="V13" s="12">
        <v>46813</v>
      </c>
      <c r="W13" s="3" t="s">
        <v>162</v>
      </c>
    </row>
    <row r="14" spans="1:23" x14ac:dyDescent="0.25">
      <c r="A14" s="2">
        <v>22</v>
      </c>
      <c r="B14" s="23">
        <v>2481449</v>
      </c>
      <c r="C14" s="15" t="s">
        <v>172</v>
      </c>
      <c r="D14" s="2" t="s">
        <v>22</v>
      </c>
      <c r="E14" s="17"/>
      <c r="F14" s="18"/>
      <c r="G14" s="26">
        <v>626924.48</v>
      </c>
      <c r="H14" s="18">
        <v>626924.48</v>
      </c>
      <c r="I14" s="18">
        <f t="shared" si="0"/>
        <v>156731.12</v>
      </c>
      <c r="J14" s="18"/>
      <c r="K14" s="18">
        <v>762108.89</v>
      </c>
      <c r="L14" s="50">
        <f t="shared" si="1"/>
        <v>762108.89</v>
      </c>
      <c r="M14" s="2">
        <f t="shared" si="2"/>
        <v>381054.44500000001</v>
      </c>
      <c r="N14" s="2"/>
      <c r="O14" s="2"/>
      <c r="P14" s="2"/>
      <c r="Q14" s="2"/>
      <c r="R14" s="2" t="s">
        <v>161</v>
      </c>
      <c r="S14" s="46">
        <v>0</v>
      </c>
      <c r="T14" s="19">
        <v>2025</v>
      </c>
      <c r="U14" s="12">
        <v>46032</v>
      </c>
      <c r="V14" s="12">
        <v>46813</v>
      </c>
      <c r="W14" s="3" t="s">
        <v>162</v>
      </c>
    </row>
    <row r="15" spans="1:23" x14ac:dyDescent="0.25">
      <c r="A15" s="2">
        <v>23</v>
      </c>
      <c r="B15" s="23">
        <v>2485617</v>
      </c>
      <c r="C15" s="15" t="s">
        <v>173</v>
      </c>
      <c r="D15" s="2" t="s">
        <v>22</v>
      </c>
      <c r="E15" s="17"/>
      <c r="F15" s="18"/>
      <c r="G15" s="26">
        <v>181556.8</v>
      </c>
      <c r="H15" s="18">
        <v>181556.8</v>
      </c>
      <c r="I15" s="18">
        <f t="shared" si="0"/>
        <v>45389.2</v>
      </c>
      <c r="J15" s="18"/>
      <c r="K15" s="18">
        <v>189278.1</v>
      </c>
      <c r="L15" s="50">
        <f t="shared" si="1"/>
        <v>189278.1</v>
      </c>
      <c r="M15" s="2">
        <f t="shared" si="2"/>
        <v>94639.05</v>
      </c>
      <c r="N15" s="2"/>
      <c r="O15" s="2"/>
      <c r="P15" s="2"/>
      <c r="Q15" s="2"/>
      <c r="R15" s="2" t="s">
        <v>161</v>
      </c>
      <c r="S15" s="46">
        <v>0</v>
      </c>
      <c r="T15" s="19">
        <v>2025</v>
      </c>
      <c r="U15" s="12">
        <v>46032</v>
      </c>
      <c r="V15" s="12">
        <v>46813</v>
      </c>
      <c r="W15" s="3" t="s">
        <v>162</v>
      </c>
    </row>
    <row r="16" spans="1:23" x14ac:dyDescent="0.25">
      <c r="A16" s="2">
        <v>5</v>
      </c>
      <c r="B16" s="2">
        <v>2471210</v>
      </c>
      <c r="C16" s="15" t="s">
        <v>174</v>
      </c>
      <c r="D16" s="2" t="s">
        <v>22</v>
      </c>
      <c r="E16" s="17"/>
      <c r="F16" s="18"/>
      <c r="G16" s="18">
        <v>483836.3</v>
      </c>
      <c r="H16" s="18">
        <v>483836.3</v>
      </c>
      <c r="I16" s="18">
        <f t="shared" ref="I16:I26" si="3">+H16/12*3</f>
        <v>120959.075</v>
      </c>
      <c r="J16" s="18"/>
      <c r="K16" s="18">
        <v>721457.82</v>
      </c>
      <c r="L16" s="50">
        <f t="shared" ref="L16:L26" si="4">+K16</f>
        <v>721457.82</v>
      </c>
      <c r="M16" s="2">
        <f t="shared" ref="M16:M26" si="5">+L16/2</f>
        <v>360728.91</v>
      </c>
      <c r="N16" s="2"/>
      <c r="O16" s="17"/>
      <c r="P16" s="2"/>
      <c r="Q16" s="2"/>
      <c r="R16" s="2" t="s">
        <v>161</v>
      </c>
      <c r="S16" s="46">
        <v>0</v>
      </c>
      <c r="T16" s="19">
        <v>2024</v>
      </c>
      <c r="U16" s="12">
        <v>45853</v>
      </c>
      <c r="V16" s="12">
        <v>46813</v>
      </c>
      <c r="W16" s="3" t="s">
        <v>162</v>
      </c>
    </row>
    <row r="17" spans="1:23" x14ac:dyDescent="0.25">
      <c r="A17" s="2">
        <v>6</v>
      </c>
      <c r="B17" s="2">
        <v>2485468</v>
      </c>
      <c r="C17" s="15" t="s">
        <v>175</v>
      </c>
      <c r="D17" s="2" t="s">
        <v>22</v>
      </c>
      <c r="E17" s="17"/>
      <c r="F17" s="18"/>
      <c r="G17" s="18">
        <v>448674.75</v>
      </c>
      <c r="H17" s="18">
        <v>448674.75</v>
      </c>
      <c r="I17" s="18">
        <f t="shared" si="3"/>
        <v>112168.6875</v>
      </c>
      <c r="J17" s="18"/>
      <c r="K17" s="18">
        <v>576278.51</v>
      </c>
      <c r="L17" s="50">
        <f t="shared" si="4"/>
        <v>576278.51</v>
      </c>
      <c r="M17" s="2">
        <f t="shared" si="5"/>
        <v>288139.255</v>
      </c>
      <c r="N17" s="2"/>
      <c r="O17" s="17"/>
      <c r="P17" s="2"/>
      <c r="Q17" s="2"/>
      <c r="R17" s="2" t="s">
        <v>161</v>
      </c>
      <c r="S17" s="46">
        <v>0</v>
      </c>
      <c r="T17" s="19">
        <v>2024</v>
      </c>
      <c r="U17" s="12">
        <v>45853</v>
      </c>
      <c r="V17" s="12">
        <v>46813</v>
      </c>
      <c r="W17" s="3" t="s">
        <v>162</v>
      </c>
    </row>
    <row r="18" spans="1:23" x14ac:dyDescent="0.25">
      <c r="A18" s="2">
        <v>7</v>
      </c>
      <c r="B18" s="2">
        <v>2463380</v>
      </c>
      <c r="C18" s="15" t="s">
        <v>176</v>
      </c>
      <c r="D18" s="2" t="s">
        <v>22</v>
      </c>
      <c r="E18" s="17"/>
      <c r="F18" s="18"/>
      <c r="G18" s="18">
        <v>472631.57</v>
      </c>
      <c r="H18" s="18">
        <v>472631.57</v>
      </c>
      <c r="I18" s="18">
        <f t="shared" si="3"/>
        <v>118157.89249999999</v>
      </c>
      <c r="J18" s="18"/>
      <c r="K18" s="18">
        <v>492731.78</v>
      </c>
      <c r="L18" s="50">
        <f t="shared" si="4"/>
        <v>492731.78</v>
      </c>
      <c r="M18" s="2">
        <f t="shared" si="5"/>
        <v>246365.89</v>
      </c>
      <c r="N18" s="2"/>
      <c r="O18" s="17"/>
      <c r="P18" s="2"/>
      <c r="Q18" s="2"/>
      <c r="R18" s="2" t="s">
        <v>161</v>
      </c>
      <c r="S18" s="46">
        <v>0</v>
      </c>
      <c r="T18" s="19">
        <v>2024</v>
      </c>
      <c r="U18" s="12">
        <v>45853</v>
      </c>
      <c r="V18" s="12">
        <v>46813</v>
      </c>
      <c r="W18" s="3" t="s">
        <v>162</v>
      </c>
    </row>
    <row r="19" spans="1:23" x14ac:dyDescent="0.25">
      <c r="A19" s="2">
        <v>8</v>
      </c>
      <c r="B19" s="2">
        <v>2475656</v>
      </c>
      <c r="C19" s="24" t="s">
        <v>177</v>
      </c>
      <c r="D19" s="20" t="s">
        <v>22</v>
      </c>
      <c r="E19" s="21"/>
      <c r="F19" s="25"/>
      <c r="G19" s="18">
        <v>369766.7</v>
      </c>
      <c r="H19" s="18">
        <v>369766.7</v>
      </c>
      <c r="I19" s="18">
        <f t="shared" si="3"/>
        <v>92441.675000000003</v>
      </c>
      <c r="J19" s="18"/>
      <c r="K19" s="18">
        <v>439753.44</v>
      </c>
      <c r="L19" s="50">
        <f t="shared" si="4"/>
        <v>439753.44</v>
      </c>
      <c r="M19" s="2">
        <f t="shared" si="5"/>
        <v>219876.72</v>
      </c>
      <c r="N19" s="2"/>
      <c r="O19" s="17"/>
      <c r="P19" s="2"/>
      <c r="Q19" s="2"/>
      <c r="R19" s="2" t="s">
        <v>161</v>
      </c>
      <c r="S19" s="46">
        <v>0</v>
      </c>
      <c r="T19" s="19">
        <v>2024</v>
      </c>
      <c r="U19" s="12">
        <v>45853</v>
      </c>
      <c r="V19" s="12">
        <v>46813</v>
      </c>
      <c r="W19" s="3" t="s">
        <v>162</v>
      </c>
    </row>
    <row r="20" spans="1:23" x14ac:dyDescent="0.25">
      <c r="A20" s="2">
        <v>9</v>
      </c>
      <c r="B20" s="23">
        <v>2462240</v>
      </c>
      <c r="C20" s="15" t="s">
        <v>178</v>
      </c>
      <c r="D20" s="2" t="s">
        <v>22</v>
      </c>
      <c r="E20" s="17"/>
      <c r="F20" s="18"/>
      <c r="G20" s="26">
        <v>467638.29</v>
      </c>
      <c r="H20" s="18">
        <v>467638.29</v>
      </c>
      <c r="I20" s="18">
        <f t="shared" si="3"/>
        <v>116909.57249999999</v>
      </c>
      <c r="J20" s="18"/>
      <c r="K20" s="18">
        <v>650309.74</v>
      </c>
      <c r="L20" s="50">
        <f t="shared" si="4"/>
        <v>650309.74</v>
      </c>
      <c r="M20" s="2">
        <f t="shared" si="5"/>
        <v>325154.87</v>
      </c>
      <c r="N20" s="2"/>
      <c r="O20" s="17"/>
      <c r="P20" s="2"/>
      <c r="Q20" s="2"/>
      <c r="R20" s="2" t="s">
        <v>161</v>
      </c>
      <c r="S20" s="46">
        <v>0</v>
      </c>
      <c r="T20" s="19">
        <v>2024</v>
      </c>
      <c r="U20" s="12">
        <v>45853</v>
      </c>
      <c r="V20" s="12">
        <v>46813</v>
      </c>
      <c r="W20" s="3" t="s">
        <v>162</v>
      </c>
    </row>
    <row r="21" spans="1:23" x14ac:dyDescent="0.25">
      <c r="A21" s="2">
        <v>10</v>
      </c>
      <c r="B21" s="23">
        <v>2485549</v>
      </c>
      <c r="C21" s="15" t="s">
        <v>179</v>
      </c>
      <c r="D21" s="2" t="s">
        <v>22</v>
      </c>
      <c r="E21" s="17"/>
      <c r="F21" s="18"/>
      <c r="G21" s="26">
        <v>523736.69</v>
      </c>
      <c r="H21" s="18">
        <v>523736.69</v>
      </c>
      <c r="I21" s="18">
        <f t="shared" si="3"/>
        <v>130934.1725</v>
      </c>
      <c r="J21" s="18"/>
      <c r="K21" s="18">
        <v>654532.71</v>
      </c>
      <c r="L21" s="50">
        <f t="shared" si="4"/>
        <v>654532.71</v>
      </c>
      <c r="M21" s="2">
        <f t="shared" si="5"/>
        <v>327266.35499999998</v>
      </c>
      <c r="N21" s="2"/>
      <c r="O21" s="17"/>
      <c r="P21" s="2"/>
      <c r="Q21" s="2"/>
      <c r="R21" s="2" t="s">
        <v>161</v>
      </c>
      <c r="S21" s="46">
        <v>0</v>
      </c>
      <c r="T21" s="19">
        <v>2024</v>
      </c>
      <c r="U21" s="12">
        <v>45853</v>
      </c>
      <c r="V21" s="12">
        <v>46813</v>
      </c>
      <c r="W21" s="3" t="s">
        <v>162</v>
      </c>
    </row>
    <row r="22" spans="1:23" x14ac:dyDescent="0.25">
      <c r="A22" s="2">
        <v>11</v>
      </c>
      <c r="B22" s="23">
        <v>2482927</v>
      </c>
      <c r="C22" s="15" t="s">
        <v>180</v>
      </c>
      <c r="D22" s="2" t="s">
        <v>22</v>
      </c>
      <c r="E22" s="17"/>
      <c r="F22" s="18"/>
      <c r="G22" s="26">
        <v>512259.31</v>
      </c>
      <c r="H22" s="18">
        <v>512259.31</v>
      </c>
      <c r="I22" s="18">
        <f t="shared" si="3"/>
        <v>128064.8275</v>
      </c>
      <c r="J22" s="18"/>
      <c r="K22" s="18">
        <v>642567.21</v>
      </c>
      <c r="L22" s="50">
        <f t="shared" si="4"/>
        <v>642567.21</v>
      </c>
      <c r="M22" s="2">
        <f t="shared" si="5"/>
        <v>321283.60499999998</v>
      </c>
      <c r="N22" s="2"/>
      <c r="O22" s="17"/>
      <c r="P22" s="2"/>
      <c r="Q22" s="2"/>
      <c r="R22" s="2" t="s">
        <v>161</v>
      </c>
      <c r="S22" s="46">
        <v>0</v>
      </c>
      <c r="T22" s="19">
        <v>2024</v>
      </c>
      <c r="U22" s="12">
        <v>45853</v>
      </c>
      <c r="V22" s="12">
        <v>46813</v>
      </c>
      <c r="W22" s="3" t="s">
        <v>162</v>
      </c>
    </row>
    <row r="23" spans="1:23" x14ac:dyDescent="0.25">
      <c r="A23" s="2">
        <v>12</v>
      </c>
      <c r="B23" s="23">
        <v>2459714</v>
      </c>
      <c r="C23" s="15" t="s">
        <v>181</v>
      </c>
      <c r="D23" s="2" t="s">
        <v>22</v>
      </c>
      <c r="E23" s="17"/>
      <c r="F23" s="18"/>
      <c r="G23" s="26">
        <v>669200.89</v>
      </c>
      <c r="H23" s="18">
        <v>669200.89</v>
      </c>
      <c r="I23" s="18">
        <f t="shared" si="3"/>
        <v>167300.2225</v>
      </c>
      <c r="J23" s="18"/>
      <c r="K23" s="18">
        <v>1131750.45</v>
      </c>
      <c r="L23" s="50">
        <f t="shared" si="4"/>
        <v>1131750.45</v>
      </c>
      <c r="M23" s="2">
        <f t="shared" si="5"/>
        <v>565875.22499999998</v>
      </c>
      <c r="N23" s="2"/>
      <c r="O23" s="17"/>
      <c r="P23" s="2"/>
      <c r="Q23" s="2"/>
      <c r="R23" s="2" t="s">
        <v>161</v>
      </c>
      <c r="S23" s="46">
        <v>0</v>
      </c>
      <c r="T23" s="19">
        <v>2024</v>
      </c>
      <c r="U23" s="12">
        <v>45853</v>
      </c>
      <c r="V23" s="12">
        <v>46813</v>
      </c>
      <c r="W23" s="3" t="s">
        <v>162</v>
      </c>
    </row>
    <row r="24" spans="1:23" x14ac:dyDescent="0.25">
      <c r="A24" s="2">
        <v>13</v>
      </c>
      <c r="B24" s="23">
        <v>2468576</v>
      </c>
      <c r="C24" s="15" t="s">
        <v>182</v>
      </c>
      <c r="D24" s="2" t="s">
        <v>22</v>
      </c>
      <c r="E24" s="17"/>
      <c r="F24" s="18"/>
      <c r="G24" s="26">
        <v>409693.48</v>
      </c>
      <c r="H24" s="18">
        <v>409693.48</v>
      </c>
      <c r="I24" s="18">
        <f t="shared" si="3"/>
        <v>102423.37</v>
      </c>
      <c r="J24" s="18"/>
      <c r="K24" s="18">
        <v>427117.04</v>
      </c>
      <c r="L24" s="50">
        <f t="shared" si="4"/>
        <v>427117.04</v>
      </c>
      <c r="M24" s="2">
        <f t="shared" si="5"/>
        <v>213558.52</v>
      </c>
      <c r="N24" s="2"/>
      <c r="O24" s="17"/>
      <c r="P24" s="2"/>
      <c r="Q24" s="2"/>
      <c r="R24" s="2" t="s">
        <v>161</v>
      </c>
      <c r="S24" s="46">
        <v>0</v>
      </c>
      <c r="T24" s="19">
        <v>2024</v>
      </c>
      <c r="U24" s="12">
        <v>45853</v>
      </c>
      <c r="V24" s="12">
        <v>46813</v>
      </c>
      <c r="W24" s="3" t="s">
        <v>162</v>
      </c>
    </row>
    <row r="25" spans="1:23" x14ac:dyDescent="0.25">
      <c r="A25" s="2">
        <v>14</v>
      </c>
      <c r="B25" s="23">
        <v>2488279</v>
      </c>
      <c r="C25" s="15" t="s">
        <v>183</v>
      </c>
      <c r="D25" s="2" t="s">
        <v>22</v>
      </c>
      <c r="E25" s="17"/>
      <c r="F25" s="18"/>
      <c r="G25" s="26">
        <v>353857.06</v>
      </c>
      <c r="H25" s="18">
        <v>353857.06</v>
      </c>
      <c r="I25" s="18">
        <f t="shared" si="3"/>
        <v>88464.264999999999</v>
      </c>
      <c r="J25" s="18"/>
      <c r="K25" s="18">
        <v>423167.19</v>
      </c>
      <c r="L25" s="50">
        <f t="shared" si="4"/>
        <v>423167.19</v>
      </c>
      <c r="M25" s="2">
        <f t="shared" si="5"/>
        <v>211583.595</v>
      </c>
      <c r="N25" s="2"/>
      <c r="O25" s="17"/>
      <c r="P25" s="2"/>
      <c r="Q25" s="2"/>
      <c r="R25" s="2" t="s">
        <v>161</v>
      </c>
      <c r="S25" s="46">
        <v>0</v>
      </c>
      <c r="T25" s="19">
        <v>2024</v>
      </c>
      <c r="U25" s="12">
        <v>45853</v>
      </c>
      <c r="V25" s="12">
        <v>46813</v>
      </c>
      <c r="W25" s="3" t="s">
        <v>162</v>
      </c>
    </row>
    <row r="26" spans="1:23" x14ac:dyDescent="0.25">
      <c r="A26" s="2">
        <v>15</v>
      </c>
      <c r="B26" s="23">
        <v>2487949</v>
      </c>
      <c r="C26" s="15" t="s">
        <v>184</v>
      </c>
      <c r="D26" s="2" t="s">
        <v>22</v>
      </c>
      <c r="E26" s="17"/>
      <c r="F26" s="18"/>
      <c r="G26" s="26">
        <v>337397.07</v>
      </c>
      <c r="H26" s="18">
        <v>337397.07</v>
      </c>
      <c r="I26" s="18">
        <f t="shared" si="3"/>
        <v>84349.267500000002</v>
      </c>
      <c r="J26" s="18"/>
      <c r="K26" s="18">
        <v>406007.18</v>
      </c>
      <c r="L26" s="50">
        <f t="shared" si="4"/>
        <v>406007.18</v>
      </c>
      <c r="M26" s="2">
        <f t="shared" si="5"/>
        <v>203003.59</v>
      </c>
      <c r="N26" s="2"/>
      <c r="O26" s="17"/>
      <c r="P26" s="2"/>
      <c r="Q26" s="2"/>
      <c r="R26" s="2" t="s">
        <v>161</v>
      </c>
      <c r="S26" s="46">
        <v>0</v>
      </c>
      <c r="T26" s="19">
        <v>2024</v>
      </c>
      <c r="U26" s="12">
        <v>45853</v>
      </c>
      <c r="V26" s="12">
        <v>46813</v>
      </c>
      <c r="W26" s="3" t="s">
        <v>162</v>
      </c>
    </row>
    <row r="27" spans="1:23" s="27" customFormat="1" x14ac:dyDescent="0.25">
      <c r="E27" s="28"/>
      <c r="F27" s="29"/>
      <c r="G27" s="29"/>
      <c r="H27" s="29"/>
      <c r="I27" s="29"/>
      <c r="J27" s="29"/>
      <c r="K27" s="29"/>
      <c r="L27" s="29"/>
      <c r="M27" s="45"/>
      <c r="N27" s="45"/>
      <c r="O27" s="45"/>
      <c r="P27" s="45"/>
      <c r="Q27" s="45"/>
      <c r="S27" s="48"/>
      <c r="T27" s="30"/>
      <c r="U27" s="31"/>
      <c r="V27" s="31"/>
    </row>
    <row r="28" spans="1:23" x14ac:dyDescent="0.25">
      <c r="E28" s="22"/>
      <c r="M28" s="44"/>
      <c r="N28" s="44"/>
      <c r="O28" s="44"/>
    </row>
  </sheetData>
  <mergeCells count="1">
    <mergeCell ref="A1:W1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E87ED011AC1342B3E5DA2BCE9C9CEF" ma:contentTypeVersion="30" ma:contentTypeDescription="Crear nuevo documento." ma:contentTypeScope="" ma:versionID="2233b18e314ad3ad7039eb2c4d8e09fc">
  <xsd:schema xmlns:xsd="http://www.w3.org/2001/XMLSchema" xmlns:xs="http://www.w3.org/2001/XMLSchema" xmlns:p="http://schemas.microsoft.com/office/2006/metadata/properties" xmlns:ns2="e2430303-d052-4e59-942b-9dcb77981c99" xmlns:ns3="c9769570-734c-41a4-b587-937bc0e11db2" targetNamespace="http://schemas.microsoft.com/office/2006/metadata/properties" ma:root="true" ma:fieldsID="7f52580662abb29abbc0c85db654f027" ns2:_="" ns3:_="">
    <xsd:import namespace="e2430303-d052-4e59-942b-9dcb77981c99"/>
    <xsd:import namespace="c9769570-734c-41a4-b587-937bc0e11d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Descripcion" minOccurs="0"/>
                <xsd:element ref="ns3:Responsable" minOccurs="0"/>
                <xsd:element ref="ns3:Entregable" minOccurs="0"/>
                <xsd:element ref="ns3:Entregable2" minOccurs="0"/>
                <xsd:element ref="ns3:Entregable2_x003a_Title" minOccurs="0"/>
                <xsd:element ref="ns3:Entregable2_x003a_Descripcion" minOccurs="0"/>
                <xsd:element ref="ns3:lcf76f155ced4ddcb4097134ff3c332f" minOccurs="0"/>
                <xsd:element ref="ns2:TaxCatchAll" minOccurs="0"/>
                <xsd:element ref="ns3:Paquet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30303-d052-4e59-942b-9dcb77981c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c443a481-e33e-4a44-a6e4-62198eadf926}" ma:internalName="TaxCatchAll" ma:showField="CatchAllData" ma:web="e2430303-d052-4e59-942b-9dcb77981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69570-734c-41a4-b587-937bc0e11d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Descripcion" ma:index="21" nillable="true" ma:displayName="Descripcion" ma:format="Dropdown" ma:internalName="Descripcion">
      <xsd:simpleType>
        <xsd:restriction base="dms:Text">
          <xsd:maxLength value="255"/>
        </xsd:restriction>
      </xsd:simpleType>
    </xsd:element>
    <xsd:element name="Responsable" ma:index="22" nillable="true" ma:displayName="Responsable" ma:description="Este documento tiene a su cargo un abogado de DIE" ma:format="Dropdown" ma:internalName="Responsable">
      <xsd:simpleType>
        <xsd:restriction base="dms:Text">
          <xsd:maxLength value="255"/>
        </xsd:restriction>
      </xsd:simpleType>
    </xsd:element>
    <xsd:element name="Entregable" ma:index="23" nillable="true" ma:displayName="Entregable" ma:format="Dropdown" ma:list="aa062ca6-a4f6-41c9-a6d5-8460f1f7cd63" ma:internalName="Entregabl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ntregable2" ma:index="24" nillable="true" ma:displayName="Entregable2" ma:list="{aa062ca6-a4f6-41c9-a6d5-8460f1f7cd63}" ma:internalName="Entregable2" ma:showField="I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ntregable2_x003a_Title" ma:index="25" nillable="true" ma:displayName="Entregable2:Title" ma:list="{aa062ca6-a4f6-41c9-a6d5-8460f1f7cd63}" ma:internalName="Entregable2_x003a_Title" ma:readOnly="true" ma:showField="Title" ma:web="e2430303-d052-4e59-942b-9dcb77981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ntregable2_x003a_Descripcion" ma:index="26" nillable="true" ma:displayName="Entregable2:Descripcion" ma:list="{aa062ca6-a4f6-41c9-a6d5-8460f1f7cd63}" ma:internalName="Entregable2_x003a_Descripcion" ma:readOnly="true" ma:showField="field_1" ma:web="e2430303-d052-4e59-942b-9dcb77981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cf76f155ced4ddcb4097134ff3c332f" ma:index="28" nillable="true" ma:taxonomy="true" ma:internalName="lcf76f155ced4ddcb4097134ff3c332f" ma:taxonomyFieldName="MediaServiceImageTags" ma:displayName="Etiquetas de imagen" ma:readOnly="false" ma:fieldId="{5cf76f15-5ced-4ddc-b409-7134ff3c332f}" ma:taxonomyMulti="true" ma:sspId="66aac2e1-5ba9-4067-b39f-cdb2cfb8e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aquete" ma:index="30" nillable="true" ma:displayName="Paquete" ma:decimals="0" ma:format="Dropdown" ma:internalName="Paquete" ma:percentage="FALSE">
      <xsd:simpleType>
        <xsd:restriction base="dms:Number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ntregable2 xmlns="c9769570-734c-41a4-b587-937bc0e11db2" xsi:nil="true"/>
    <Paquete xmlns="c9769570-734c-41a4-b587-937bc0e11db2" xsi:nil="true"/>
    <Responsable xmlns="c9769570-734c-41a4-b587-937bc0e11db2" xsi:nil="true"/>
    <Entregable xmlns="c9769570-734c-41a4-b587-937bc0e11db2" xsi:nil="true"/>
    <TaxCatchAll xmlns="e2430303-d052-4e59-942b-9dcb77981c99" xsi:nil="true"/>
    <Descripcion xmlns="c9769570-734c-41a4-b587-937bc0e11db2" xsi:nil="true"/>
    <lcf76f155ced4ddcb4097134ff3c332f xmlns="c9769570-734c-41a4-b587-937bc0e11d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A7CFA7-4847-48C3-803C-AA4985166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EC455C-052E-4100-90C6-A6B2A0E28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430303-d052-4e59-942b-9dcb77981c99"/>
    <ds:schemaRef ds:uri="c9769570-734c-41a4-b587-937bc0e11d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AE7EE9-6CF7-4FAF-9FAA-487410256BFF}">
  <ds:schemaRefs>
    <ds:schemaRef ds:uri="http://schemas.microsoft.com/office/2006/metadata/properties"/>
    <ds:schemaRef ds:uri="http://schemas.microsoft.com/office/infopath/2007/PartnerControls"/>
    <ds:schemaRef ds:uri="c9769570-734c-41a4-b587-937bc0e11db2"/>
    <ds:schemaRef ds:uri="e2430303-d052-4e59-942b-9dcb77981c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IMPLEMENTADOS</vt:lpstr>
      <vt:lpstr>CONTINGENCIA</vt:lpstr>
      <vt:lpstr>MANTENIMIENTO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OPP 30</dc:creator>
  <cp:keywords/>
  <dc:description/>
  <cp:lastModifiedBy>DIPLAN 11</cp:lastModifiedBy>
  <cp:revision/>
  <dcterms:created xsi:type="dcterms:W3CDTF">2015-06-05T18:19:34Z</dcterms:created>
  <dcterms:modified xsi:type="dcterms:W3CDTF">2026-04-15T16:02:27Z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0x010100DBE87ED011AC1342B3E5DA2BCE9C9CEF</vt:lpwstr>
  </property>
  <property fmtid="{D5CDD505-2E9C-101B-9397-08002B2CF9AE}" pid="3" name="MediaServiceImageTags">
    <vt:lpwstr/>
  </property>
</Properties>
</file>