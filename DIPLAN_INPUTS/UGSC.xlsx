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mc:AlternateContent xmlns:mc="http://schemas.openxmlformats.org/markup-compatibility/2006">
    <mc:Choice Requires="x15">
      <x15ac:absPath xmlns:x15ac="http://schemas.microsoft.com/office/spreadsheetml/2010/11/ac" url="C:\Users\ugsc66\Downloads\"/>
    </mc:Choice>
  </mc:AlternateContent>
  <xr:revisionPtr revIDLastSave="0" documentId="13_ncr:1_{51E4FC48-F46B-4639-B2B2-522A31C44FCA}" xr6:coauthVersionLast="47" xr6:coauthVersionMax="47" xr10:uidLastSave="{00000000-0000-0000-0000-000000000000}"/>
  <bookViews>
    <workbookView xWindow="-120" yWindow="-120" windowWidth="29040" windowHeight="15720" tabRatio="545" xr2:uid="{00000000-000D-0000-FFFF-FFFF00000000}"/>
  </bookViews>
  <sheets>
    <sheet name="ASITEC-SIAT" sheetId="1" r:id="rId1"/>
    <sheet name="SEGUIMIENTO DE PI FINANCIADOS " sheetId="9" r:id="rId2"/>
  </sheets>
  <definedNames>
    <definedName name="_xlnm._FilterDatabase" localSheetId="0" hidden="1">'ASITEC-SIAT'!$A$3:$K$421</definedName>
    <definedName name="_xlnm._FilterDatabase" localSheetId="1" hidden="1">'SEGUIMIENTO DE PI FINANCIADOS '!$A$3:$U$332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R333" i="9" l="1"/>
  <c r="T333" i="9"/>
  <c r="S333" i="9"/>
</calcChain>
</file>

<file path=xl/sharedStrings.xml><?xml version="1.0" encoding="utf-8"?>
<sst xmlns="http://schemas.openxmlformats.org/spreadsheetml/2006/main" count="4689" uniqueCount="448">
  <si>
    <t>REPORTE DE LAS ASISTENCIAS TÉCNICAS /ASESORÍAS TÉCNICAS PARA LA ELABORACIÓN Y APROBACIÓN DE EXPEDIENTES TÉCNICOS</t>
  </si>
  <si>
    <t>N°</t>
  </si>
  <si>
    <t>CUI</t>
  </si>
  <si>
    <t>Cantidad de locales educativos intervenidos por el PI</t>
  </si>
  <si>
    <t>Periodo inicial</t>
  </si>
  <si>
    <t>Periodo final / actual</t>
  </si>
  <si>
    <t>Monto de inversión (S/)</t>
  </si>
  <si>
    <t>Estado
(Admitido, Continuidad, Culminado, Descalificado, Desestimado, En Revisión, Revisado, etc.)</t>
  </si>
  <si>
    <t>Etapa
(Costos, Culminado, Especialidades, Estudios Básicos, No Culminado, Revisado, etc.)</t>
  </si>
  <si>
    <t>Fecha de aprobación del Expediente Técnico (ET) (estimado)</t>
  </si>
  <si>
    <t>Fecha de caducidad del ET</t>
  </si>
  <si>
    <t>Comentarios</t>
  </si>
  <si>
    <t>REPORTE DE LA CARTERA DE MONITOREO Y SEGUIMIENTO A PROYECTOS DE INVERSIÓN EJECUTADOS POR GOBIERNOS REGIONALES Y GOBIERNOS LOCALES QUE RECIBIERON FINANCIAMIENTO POR EL GN</t>
  </si>
  <si>
    <t>Año de la primera transferencia</t>
  </si>
  <si>
    <t>Año de la última transferencia</t>
  </si>
  <si>
    <t>Documento de la transferencia (agregar columnas si las transferencias es mayor a 1 año)</t>
  </si>
  <si>
    <t>Estado del proyecto de inversión (PI)
(en ejecución de obra, transferencia de obra, obra en proceso de selección, contratación de obra, incorporación de recursos, ET apto para financiamiento, liquidación de obra, recepción de obra, contrato resuelto, culminación de obra, suspendida, ET aprobado, paralizado, cerrado, convenio resuelto, ET en elaboración, adjudicación de obra, etc.)</t>
  </si>
  <si>
    <t>Monto de Inversión (S/)</t>
  </si>
  <si>
    <t>Transferencia  total (S/)</t>
  </si>
  <si>
    <t>2015</t>
  </si>
  <si>
    <t>DS N° 096-2015-EF</t>
  </si>
  <si>
    <t>DS N° 156-2016-EF</t>
  </si>
  <si>
    <t>DS N° 212-2016-EF</t>
  </si>
  <si>
    <t>DS N° 103-2018-EF</t>
  </si>
  <si>
    <t>ANEXO N° I
LEY PRESUPUESTO 2019 - N° 30879
(177)</t>
  </si>
  <si>
    <t>MONTO DE LEY DE PRESUPUESTO 2021</t>
  </si>
  <si>
    <t>LEY DE PRESUPUESTO 2023</t>
  </si>
  <si>
    <t>LEY DE PRESUPUESTO 2025
(ANEXO I)</t>
  </si>
  <si>
    <t>LIQUIDACIÓN DE OBRA</t>
  </si>
  <si>
    <t>OBRA CULMINADA (2017), RECEPCIONADA (2017) Y CUENTA CON LIQUIDACION DE OBRA APROBADA MEDIANTE R.G. N° 001-2018-MVMT/GDU (2018).
UEI NO HA INFORMADO EL ESTADO DE LA LIQUIDACION DE LA SUPERVISION DE OBRA.
MEDIANTE OFICIO N° 000971-2025-MINEDU/VMGI-PRONIED-UGSC (23.06.2025) SE COMUNICA AL OCI DE LA ENTIDAD EL INCUMPLIMIENTO DE REGISTRO DE INFORMACIÓN Y CIERRE DEL PI EN EL BANCO DE INVERSIONES A PESAR DE HABERSELE NOTIFICADO Y OTORGADO PLAZO PARA DICHO EFECTO, MEDIANTE EL OFICIO N° 000053-2025-MINEDU/VMGI-PRONIED-UGSC (17.02.2025).</t>
  </si>
  <si>
    <t>2014</t>
  </si>
  <si>
    <t>DS N° 180-2014-EF</t>
  </si>
  <si>
    <t>MONTO 
LEY DE PRESUPUESTO 2022</t>
  </si>
  <si>
    <t>LEY DE PRESUPUESTO 2024
(ANEXO II)</t>
  </si>
  <si>
    <t>PARALIZADA</t>
  </si>
  <si>
    <t>OBRA PARALIZADA (EN EJECUCION POR AD DE TERCERA ETAPA)
MEDIANTE OFICIO N° 000082-2026-MINEDU-VMGI-PRONIED-UGSC (05.02.2026), SE HA SOLICITADO A LA ENTIDAD EL INFORME SITUACIONAL MENSUAL DEL PI.
AL RESPECTO, MEDIANTE OFICIO N° 073-2026-GRM/GGR-GRI (09.03.2026) LA ENTIDAD INFORMA QUE OBRA SE ENCUENTRA PARALIZADA DESEDE EL 01 ENE 2026 POR FALTA DE PRESUPUESTO. CABE MENCIONAR QUE SE VERIFICA EN EL BANCO DE INVERSIONES QUE PI CUENTA CON UN PIM 2026 DE S/ 181,930.00.
ASIMISMO, GR INFORMA QUE SE HA APROBADO LA AMPLIACIÓN DE PLAZO N° 17 QUE ESTABLECE QUE NUEVA FECHA DE TERMINO PROGRAMADA SERIA EL 31 MAR 2026. GR INFORMA QUE SE ENCUENTRA PENDIENTE LA CULMINACION DE LA PISCINA Y EQUIPAMIENTO DE TALLER DE PRODUCCION.
MEDIANTE INFORME N° 922-2025-MINEDU-VMGI-PRONIED-UZAR (18.11.2025) MONITOR DE OBRA INFORMA QUE EN VISITA DEL 22 OCT 2025 VERIFICÓ LO SIGUIENTE:
- APARICION RECURRENTE DE GRIETAS EN MURO DE SSHH DE PISCINA
- CONTINUA PENDIENTE LAS PRUEBAS DE IMPERMEABILIZACION DE LA COBERTURA DE LA PISCINA Y COLISEO
- SE HA VERIFICADO LA CULMINACION DE LA AMPLIACION DE LAS INSTALACIONES DEL SISTEMA ELECTRICO PARA EL EQUIPAMIENTO DEL TALLER DE MECANICA DE PRODUCCION; SIN EMBARGO, SE OBSERVA FALTA DE DIAGRAMAS UNIFILARES
- SE HA APROBADO LA AMPLIACION DE PLAZO N° 16 (72 DC) POR LO QUE NUEVA FECHA DE CULMINACION SERIA EL 31 DIC 2025
---------------------------------------
PRIMERA ETAPA (INFRAESTRUCTURA INICIAL, PRIMARIA Y SECUNDARIA): EJECUTADA POR ADM DIRECTA. INICIO EJECUCIÓN EL 01/08/2014 Y CULMINO EL 31/10/2015
SEGUNDA ETAPA (INFRAESTRUCTURA INICIAL, PRIMARIA Y SECUNDARIA): EJECUTADA POR CONTRATA, INICIO EJECUCIÓN EL 06/01/2017 Y CULMINÓ EL 31/10/2017
TERCERA ETAPA (ADMINISTRACION E INFRAESTRUCTURA DEPORTIVA): INICIO DE OBRA EL 09/07/2019 (POR ADM DIRECTA) - CULMINACIÓN REPROGRAMADA:  20/10/2025</t>
  </si>
  <si>
    <t>DS N° 089-2017-EF</t>
  </si>
  <si>
    <t>SALDO DE OBRA 2021
FECHA 31 DE MARZO DEL 2025 MEDIANTE RESOLUCIÓN DE GERENCIA REAGIONAL N° 021-2025-GOBIERNO REGIONAL AMAZONAS/GRI LA ENTIDAD RESOLVIÓ APROBAR LA ACTUALIZACIÓN DEL COMPONENTE MOBILIARIO Y EQUIPAMIENTO DEL ET DEL PI CON CUI 22250741
PROYECTO PENDIENTE DE CIERRE EN EL BANCO DE INVERSIONES. SEGÚN LA RESOCLUCIÓN DE GERENCIA GENERAL REGIONAL N° 000105-2024, SE APRUEBA LA LIQUIDACIÓN DE LA SUPERVISIÓN DE OBRA
EL PROYECTO CUENTA CON RESOLUCIÓN DE GERENCIA GENERAL REGIONAL 015-2021-GRA-GRI, DONDE SE APRUEBA EL EXPEDIENTE TÉCNICO DEL SALDO DE OBRA, DE FECHA 01 DE MARZO DEL 2021.
Culminación: 13/09/2023
Liquidación: 06/02/2024
Recepción: 30/11/2023
RESOLUCIÓN GERENCIAL N° 00028-2024- 06 de febero de 2024</t>
  </si>
  <si>
    <t>DS N° 178-2015-EF</t>
  </si>
  <si>
    <t>PROYECTOS FINANCIADOS POR 
DU -070-2020</t>
  </si>
  <si>
    <t>LEY DE PRESUPUESTO 2026</t>
  </si>
  <si>
    <t>RECEPCIÓN DE OBRA</t>
  </si>
  <si>
    <t xml:space="preserve">RECEPCION DE OBRA - SALDO DE OBRA 
CONVENIO: N° 105-2017
OBRA PRINCIPAL
EJECUCION: ADMNISTRACION INDIRECTA
INICIO: 01/05/2017 
PLAZO DE 300 D.C 
CULMINACION: 09/07/2018
OBRA PRINCIPAL %: 89.30%
CARTA NOTARIAL: N°035-2018-GR-PUNO/GR DEL 19/11/19 SE RESUELVE CONTRATO N°002-2017-LP-GRP
SALDO DE OBRA
EJECUCION ADMINISTRACION DIRECTA 
INICIO: 05/11/2019 - 
PLAZO:30DC -
CULMINACION:04/12/2019 – 
TERMINO REPROGRAMADA: 14/01/2022
AMPLACION 1: 30DC - 
AMPLIACION 2: 30DC - 
AMPLIACION 3: 715DC 
REINICIO: ABRIL 2022 - 
CULMINACION: 19/08/2022
OBRA SALDO %: 99.80%
COMISION DE RECEPCION Y LIQUIDACION: N°406-2023-GRI-GR PUNO DEL 09/11/2023
OBRA SIGUE EN PROCESO DE LIQUIDACION, PENDIENTE REALIZAR LIQUIDACION TOTAL DEL PROYECTO SEPARANDOLA POR ADM DIRECTA E INDIRECTA HICIERON AVANCE DE LA LIQUIDACION FINANCIERO DE LOS COMPONENETES DE EQUIPAMIENTO. LA EJECUCION DE OBRA SE RESOLVIO CONTRATO Y SE TERMINO POR ADM. DIRECTA.
MEDIANTE CORREO DE COMS DE 15/08/2025, SE SOLIITA EL ESTADO SITUACIONAL DEL MES DE JULIO.
OCTUBRE, SE PROYECTARA INFORME SOBRE INCUMPLIMIENTO DE CIERRE
</t>
  </si>
  <si>
    <t>2017</t>
  </si>
  <si>
    <t>DS N° 088-2017-EF</t>
  </si>
  <si>
    <t>OBRA CULMINADA (2019) Y RECEPCIONADA (2019).
MEDIANTE OFICIO N° 002110-2025-MINEDU-VMGI-PRONIED-UGSC (10.11.2025) SE COMUNICA A LA ENTIDAD EL INCUMPLIMIENTO DE REGISTRO DE INFORMACIÓN Y CIERRE DEL PI EN EL BANCO DE INVERSIONES; ASIMISMO SE LE SOLICITA REMITIR UN INFORME DETALLADO QUE CONTENGA LA ACTUALIZACION DEL FORMATO N° 12B, DOCUMENTO QUE ACREDITE LIQUIDACION TECNICA FINANCIERA DEL PROYECTO Y DOCUMENTO QUE ACREDITE CIERRE DE PI A TRAVÉS DE FORMATO N° 09.
MEDIANTE OFICIO N° 013-2025-GDU/MDCH (14.05.2025) LA ENTIDAD CUMPLE EN REMITIR SU INFORME SITUACIONAL Y COMUNICA QUE SE ENCUENTRA EN PROCESO DE RECOPILACION DE DOCUMENTACION PARA LA LIQUIDACION DE  CONTRATO DE EJECUCION Y DE SUPERVISION DE OBRA. 
SIENDO QUE SE HA PODIDO ENCONTRAR LAS CARTAS DONDE SE HACE ENTREGA DE LA LIQUIDACION DE OBRA  (JUN 2019) Y LA LIQUIDACION DE SUPERVISION DE OBRA (ABR 2021), LA ENTIDAD INDICA QUE ENVIARÁ CARTA NOTARIAL A LOS CONTRATISTAS PARA LA RECOPILACION DE TODA LA DOCUMENTACION.</t>
  </si>
  <si>
    <t>DS N° 177-2014-EF</t>
  </si>
  <si>
    <t>DS N° 210-2015-EF</t>
  </si>
  <si>
    <t>OBRA PARALIZADA DESDE DIC 2018 ( SALDO DE OBRA EN PROCESO DE SELECCION).
SE VERIFICA QUE A PESAR DE QUE SALDO DE OBRA CUENTA CON CONTRATO DE EJECUCION Y DE SUPERVISION DE OBRA DESDE JUNIO 2025, NO SE HA INICIADO LA OBRA NI EL GR HA INFORMADO LAS ACCIONES QUE VIENE REALIZANDO PARA LA REACTIVACION DEL PROYECTO.
AL RESPECTO, MEDIANTE OFICIO N° 001247-2025-MINEDU/VMGI-PRONIED-UGSC (31.07.2025) SE HA INFORMADO A LA OCI DEL GR LIMA EL INCUMPLIMIENTO DEL CONVENIO N° 169-2014-MINEDU.
SE VERIFICA EN EL SEACE QUE SALDO DE OBRA CUENTA CON CONTRATO DE EJECUCIÓN DE OBRA, DE ACUERDO AL SIGUIENTE DETALLE:
FIRMA DE CONTRATO DE EJECUCIÓN DE OBRA 05 JUN 2025. CONTRATISTA: CORPORACION TIERRA SOL S.A.C. MONTO CONTRACTUAL S/ 2,105,375.97 (PLAZO DE EJECUCION 120 DIAS)
SE VERIFICA EN EL FORMATO 08-A DEL PI QUE MEDIANTE R.G.R. N° 077-2024-GRL/GRI (09.04.2024) SE APROBO EL EXPEDIENTE TECNICO DEL SALDO DE OBRA POR EL MONTO DE S/ 2,445,388.66, POSTERIORMENTE ACTUALIZADO EL COSTO A S/ 2,461,822.85 (R.G.R. N° 367-2024-GRL/GRI).</t>
  </si>
  <si>
    <t>DS N° 114- 2018-EF</t>
  </si>
  <si>
    <t>DS 078-2020
ANEXO 1 y 2</t>
  </si>
  <si>
    <t>LEY 32103 (CREDITO SUPLEMENTARIO)</t>
  </si>
  <si>
    <t>DS 240-2024-EF</t>
  </si>
  <si>
    <t>"LEY DE PRESUPUESTO 2025
(ANEXO I)"</t>
  </si>
  <si>
    <t xml:space="preserve">OBRA PARALIZADA DESDE OCT 2024
CONVENIOS 295-2017-MINEDU Y 025-2018-MINEDU
Modalidad de ejecución : ADMINISTRACIÓN DIRECTA
Presupuesto de Obra : S/. 15,306,142.69
Resolución de Aprobación : R.G.R. N° 005-2022-GR/APURIMAC/GRI (22/02/2022)
Inicio : 18/05/2022
Plazo : 270 DÍAS CALENDARIOS
Término de Obra : 11/02/2023
Ampliación de plazo N° 01
Resolución : R.G.R.I. N° 020-2023-GR/APURIMAC/GRI (fecha 26/07/2023)
Nro. Días : 55 días calendarios
Fecha culminación A.P. : 07/04/2023
*04 ampliaciones de plazo
Ampliación de Plazo N° 04
Resolución : R.G.R.I. N° 0169-2024-GR/APURIMAC/GRI (fecha 20/12/2024)
Nro. Días : 215 días calendarios
Fecha culminación A.P. : 03/11/2024
Paralización
Fecha de paralización : 04/10/2024 hasta la fecha.
Sustento : Por falta de asignación presupuestal y Presupuesto Adicional
por Modificación en Fase de Ejecución Nº02 en trámite
MEDIANTE EXPEDIENTE I-024957-2025, LA UZ APURIMAC REMITE EL INFORME 000820-2025-MINEDU-VMGI-PRONIED-UZCU (17/10/2025), DE LA VISITA DE OBRA DE 06/08/2025:​
% Avance físico ejecutado : 85.17 % (respecto al C.D.) hasta fecha paralización 04/10/2024 vs % Avance financiero ejecutado : 99.95 % último devengado junio 2024​
 ESTAN TRAMITANDO LA MODIFICACION EN FASE DE EJECUCION Nº02 CON AMPLIACION PRESUPUESTAL QUE GARANTICE LA EJECUCION DE LA OBRA AL 100%, A LA FECHA NO CUENTA CON ACTO ESOLUTIVO
SE ENCUENTRAN  A LA ESPERA DE APROBACION DE MODIF PRESUPUESTAL N°2 DEL COMPONENTE DE MOB Y EQUIP. Y ASIGNACION PRESUPUESTAL 
AVANCE FÍSICO ACUMULADO: 85.17% VS 100% (SET 2024)
ASIMISMO ENTIDAD INFORMA QUE SALDO POR EJECUTAR CORRESPONDE A INSTALACIONES ELECTRICAS Y SANITARIAS, ASÍ COMO TRABAJOS DE PINTURA.
POR OTRO LADO, ENTIDAD HA REMITIDO ACTA DE PARALIZACION EN LA QUE SE ESTABLECE LA PARALIZACION DE LA OBRA DESDE EL 04 OCT POR NO CONTAR CON AMPLIACION DE PLAZO APROBADA.
MEDIANTE OFICIO N° 000199-MINEDU-VMGI-PRONIED-UGSC (10.03.2025), LA UGSC SOLICITA A LA UEI INFORMAR LAS ACCIONES QUE VIENE REALIZANDO PARA LA CONTINUIDAD DE LA OBRA.
MEDIANTE OFICIO N° 000345-MINEDU-VMGI-PRONIED-UGSC (04.04.2025), LA UGSC REITERA SOLICITUD A LA UEI DE INFORMAR LAS ACCIONES QUE VIENE REALIZANDO PARA LA CONTINUIDAD DE LA OBRA.
EL 31/07/2025 SE NOTIFICÓ A OCI CON  OFICIO N° 001245-2025-MINEDU-VMGI-PRONIED-UGSCS E INFORME N° 000991-2025-MINEDU-VMGI-PRONIED-UGSC-COMS  (EXP. I-008254-2025)
EL 25/08/2025 SE NOTIFICO AL GORE SOBRE REACTIVACION DE LA OBRA(PENDIENTE PRESUPUESTO PARA MOBILIARIO Y EQUIPAMIENTO) CON OFICIO N° 001474-2025-MINEDU-VMGI-PRONIED-UGSC.
EL 02/09/2025, CON EXP.I-008254-2025, SE REMITE OFICIO N° 001603-2025-MINEDU-VMGI-PRONIED-UGSC, SOLICITANDO INFORME SITUACIONAL RESPECTO DE LA IMPLEMENTACIÓN DEL PLAN DE CONTINGENCIA DEL PI
</t>
  </si>
  <si>
    <t>ANEXO N° 6 
LEY DE PRESUPUESTO 2019 - N° 30879
(3)</t>
  </si>
  <si>
    <t>CULMINACIÓN DE OBRA</t>
  </si>
  <si>
    <t>SALDO DE OBRA
 SE REALIZA UN EXPEDIENTE EXPEDIENTE TÉCNICO APROBADO N° 018-2019-GRINF, PARA LA ADQUISICION DE EQUIPAMIENTO Y MATERIAL DIDÁCTIVO.
 LA OBRA ESTA CULMINADA, SE CONTÓ CON EL CONTRATO N° 001-2020-GORE-ICA, POR UN MONTON DE  S/1,187,107.00 soles, EL CUAL FUE RESUELTO POR EL INCUMPLIMIENTO DE LEVANTAMIENTO DE OBSERVACIONES, SE RESOLVIÓ EL CONTRATO (2021).
SE VIENE REALIZANDO LA ADQUISICIÓN DE EQUIPAMIENTO.</t>
  </si>
  <si>
    <t>OBRA CULMINADA (2016), RECEPCIONADA (2016). SEGUN REGISTRO DE INFOBRAS CUENTA CON LIQUIDACION DE OBRA APROBADA EL 05.12.2016.
MEDIANTE OFICIO N° 002176-2025-MINEDU-VMGI-PRONIED-UGSC (13.11.2025) SE COMUNICA A LA ENTIDAD EL INCUMPLIMIENTO DE REGISTRO DE INFORMACIÓN Y CIERRE DEL PI EN EL BANCO DE INVERSIONES; ASIMISMO SE LE SOLICITA REMITIR UN INFORME DETALLADO QUE CONTENGA LA ACTUALIZACION DEL FORMATO N° 12B, DOCUMENTO QUE ACREDITE LIQUIDACION TECNICA FINANCIERA DEL PROYECTO Y DOCUMENTO QUE ACREDITE CIERRE DE PI A TRAVÉS DE FORMATO N° 09.
UEI NO HA REMITIDO DOCUMENTACION
MEDIANTE OFICIO N° 000582-2025-MINEDU-VMGI-PRONIED-UGSC (28.04.2025) SE SOLICITA EL INFORME SITUACIONAL MENSUAL SOBRE LA EJECUCIÓN DEL PROYECTO Y EL USO DE LOS RECURSOS TRANSFERIDOS</t>
  </si>
  <si>
    <t>DS N° 169-2012-EF</t>
  </si>
  <si>
    <t>DS N° 248-2019-EF
(31)
UE:PRONIED</t>
  </si>
  <si>
    <t xml:space="preserve">26/11/2025: MEDIANTE CORREO ELECTRONICO EL 24/11/2025 SE LE HA SOLICITADO A LA ENTIDAD EL INFORME SITUACIONAL MENSUAL DEL PI RESPECTO A LAS ACCIONES DE CIERRE DE PROYECTO.
02/04/2025: LA UEI REMITIÓ EL OFICIO S/N° DE FECHA 01/04/2025 CON EL CUAL ADJUNTA EL INFORME N° 473-2025-GOB REG HVCA/GGR-ORSY CON EL CUAL INFORMA QUE SE ENCUENTRA EN PROCESO DE EVALUACIÒN LA ELABORACIÒN DE LA LIQUIDACIÒN DE CONTRATO RESUELTO DEL PRIMER CONTRATISTA DE OBRA EL CUAL SE ENCUENTRA AÚN PENDIENTE DE PRESENTACIÓN. *POR OTRO LADO, SE APROBO LA LIQUIDACIÒN DE EJECUCIÒN DE OBRA DEL 2DO CONTRATISTA CON RGGR-398- 2020/GOB.REG.HVCA/GGR * SE APROBO LA LIQUIDACIÒN DEL CONSULTORIA RGGR 336-2020/GOB.REG.HVCA/GGR CON FECHA 16/09/2020 
(ADJUNTÓ RESOLUCIONES)
</t>
  </si>
  <si>
    <t>LIQUIDACIÓN DE OBRA - SALDO DE OBRA
CON OBRA COMPLEMENTARIA (CERCO - INST. MEDIA TENSIÓN)
OBRA PRINCIPAL: INICIO DE OBRA 22/05/2018 - SE DECLARÓ NULO CONTRATO DE OBRA A TRAVÉS DE RESOLUCIÓN EJECUTIVA REGIONAL Nº 508-2018-GRH/GR. CORTE TÉCNICO 10/08/2018 OBRA AL 14,44%.
SALDO DE OBRA: INICIO DE OBRA 30/12/2018 - CULMINACIÓN 19/05/2019 - RECEPCIÓN 09/08/2019. CON LIQUIDACION DE OBRA: R.G.R.N°574-2019-GRH/GRL (05/12/2019) - LIQUIDACION DE SUPERVISIÓN: R.G.R.N°073-2020-GRH/GRI (20/02/2020). QUEDANDO PENDIENTE EJECUCIÓN DE CERCO PERIMÉTRICO E INSTALACIÓN DE MEDIA TENSIÓN
OBRA COMPLEMENTARIA (CERCO PERIMÉTRICO): INICIO 05/10/2023 - CULMINACIÓN PROGRAMADA: 02/06/2024 - CON ASIENTO DE CUADERNO DE OBRA DE FECHA 09/07/2024 (SUPERVISOR DA POR CULMINADA LA OBRA) - CONFORMACIÓN DE COMITÉ DE RECEPCIÓN DE OBRA: RESOLUCIÓN GERENCIAL REGIONAL Nº 472-2024-GRH/GRI (18/07/2024). CON LIQUIDACIÓN DE OBRA: RESOLUCIÓN GERENCIAL REGIONAL Nº 0829-2024-GRH/GRI (04/12/2024) - LIQUIDACIÓN DE SUPERVISIÓN: RESOLUCIÓN GERENCIAL REGIONAL N°0067-2025-GRH/GRI (03/02/2025)
OBRA COMPLEMETARIA (INSTALACIÓN DE MEDIA TENSIÓN): UEI INDICA HABER SOLICITADO CERTIFICACIÓN PRESUPUESTAL Y LA CONTRATACIÓN DEL SERVICIO DE ELABORACIÓN Y APROBACIÓN DEL ET DE MEDIA TENSIÓN 
UEI REMITE OFICIO N° Nº 000923 2025-GRH/GRI, TRASLADANDO INFORME DE SUB GERENCIA DE LIQUIDACIÓN, INDICANDO QUE HA SIDO LIQUIDADO AL 100% TODOS SUS COMPONENTES EJECUTADOS, POR LO CUAL, HAN INICIADO EL PROCESO DE TRANSFERENCIA, REMITIENDO A TRAVÉS DEL OFICIO N°901-2025-GRH/GRI (26/02/2025) EL ACTA DE TRANSFERENCIA A LA DRE-HUÁNUCO
SEGÚN REGISTRO EN BANCO DE INVERSIONES, POR EL GOBIERNO REGIONAL ESTÁN REALIZANDO ELABORANDO EXPEDIENTE DE SISTEMA DE MEDIA TENSION RGR N°67-2025-GRH/GRI,  ESTÁN REALIZANDO ELABORACION DE ELABORACION DEL EXPEDIENTE DEL SISTEMA DE UTILIZACION EN MEDIA TENSION DEL PROYECTO</t>
  </si>
  <si>
    <t>OBRA CULMINADA (2019) Y RECEPCIONADA (OCT 2019). 
SEGÚN LO REGISTRADO EN EL FORMATO 12B (15.04.2025) SE ENCUENTRA EN EVALUACION Y APROBACION DE LIQUIDACION TECNICA FINANCIERA DE OBRA.
MEDIANTE OFICIO N° 001861-2025-MINEDU/VMGI-PRONIED-UGSC (14.10.2025) SE COMUNICA A LA ENTIDAD EL INCUMPLIMIENTO DE REGISTRO DE INFORMACIÓN Y CIERRE DEL PI EN EL BANCO DE INVERSIONES; ASIMISMO SE LE SOLICITA REMITIR UN INFORME DETALLADO QUE CONTENGA LA ACTUALIZACION DEL FORMATO N° 12B, DOCUMENTO QUE ACREDITE LIQUIDACION TECNICA FINANCIERA DEL PROYECTO Y DOCUMENTO QUE ACREDITE CIERRE DE PI A TRAVÉS DE FORMATO N° 09.</t>
  </si>
  <si>
    <t>DS N° 241-2019-EF
(58)
UE:PRONIED</t>
  </si>
  <si>
    <t>D.U. 014-2019
ANEXO I Y 8
(LEY DE PRESUPUESTO 2020)</t>
  </si>
  <si>
    <t>OBRA CULMINADA (22.12.2022) RECEPCIONADA (27.04.2023) Y CUENTA CON LIQUIDACION DE OBRA APROBADA MEDIANTE RESOLUCION GERENCIAL GENERAL REGIONAL N° 073-2024GGR/GR.MOQ (31.05.2024).
MEDIANTE OFICIO N° 073-2026-GRM/GGR-GRI (09.03.2026) LA ENTIDAD INFORMA QUE LIQUIDACION DE PI SE HA PARALIZADO POR TENER LOS SIGUIENTES PAGOS PENDIENTES:
- S/ 2,304.11 A FAVOR DE LA SUPERVISION, EN CUMPLIMIENTO DE ARBITRAJE N° 34-2024
- S/ 54,091.61 A FAVOR DE LA SUPERVISION, CONSIDERADO EN LIQUIDACION DE CONTRATO DE LA SUPERVISION
ASIMISMO, EL GR INFORMA QUE SE HA DADO INICIO A LA PETICION DE ARBITRAJE N° 021-2025 POR EL CONSORCIO SUPERVISION MOQUEGUA CONTRA EL GR MOQUEGUA.
MEDIANTE OFICIO N° 000716-2024-MINEDU-VMGI-PRONIED-UGSC (27.12.2024) SE COMUNICA A LA ENTIDAD EL INCUMPLIMIENTO DE REGISTRO DE INFORMACIÓN Y CIERRE DEL PI EN EL BANCO DE INVERSIONES.
AL NO CONTAR CON RESPUESTA POR PARTE DEL GR, SE LE HA ENVIADO A LA OCI DEL GR EL OFICIO N° 000691-2025-MINEDU/VMGI-PRONIED-UGSC (09.05.2025) COMUNICANDO EL INCUMPLIMIENTO POR PARTE DEL GR.</t>
  </si>
  <si>
    <t>CONTRATO RESUELTO</t>
  </si>
  <si>
    <t xml:space="preserve">OBRA CULMINADA CON CONTRATO RESUELTO POR OBSERVACIONES NO SUBSANADAS.
PRITE MOQUEGUA: CULMINADA 30/12/2021 (100%),  CUENTA CON ACTA DE OBSERVACIONES (02/09/2022) - PERSISTEN OBSERVACIONES.
PRITE ILO: CULMINADA 06/08/2021 (99.22%), CUENTA CON ACTA DE OBSERVACIONES (26/11/2021) - PERSISTEN OBSERVACIONES.
SE VERIFICA QUE CON FECHA 16 DIC 2025, EL GR HA REGISTRADO EN EL F12B QUE CON FECHA 27 NOV 2025 EL SUPERVISOR DEL ET DEL SALDO DE OBRA (PRITE MOQUEGUA) RECEPCIONA EL INFORME TÉCNICO DE EVALUACIÓN ESTRUCTURAL, EL CUAL CONCLUYE QUE "LA INFRAESTRUCTURA NO CUMPLE CON LAS EXIGENCIAS MÍNIMAS REGLAMENTARIAS PARA SEGUIR OPERANDO DEBIDO A LAS CARACTERÍSTICAS DEL TIPO DE SUELO COMPUESTO POR ARCILLAS EXPANSIVAS LO CUAL SIGNIFICA QUE ANTE UN EVENTO SÍSMICO DEVENDRÁ EN UN COLAPSO INMEDIATO DE LA INFRAESTRUCTURA, RECOMENDANDO LA DEMOLICIÓN TOTAL DE TODOS LOS BLOQUES QUE COMPONEN LA I.E".
POR OTRO LADO, MEDIANTE INFORME N° 001012-2025-MINEDU-VMGI-PRONIED-UZAR (11.12.2025) MONITOR DE OBRA INFORMA QUE EN VISITA DEL 26 NOV  2025 VERIFICÓ LO SIGUIENTE:
- PRITE MOQUEGUA: NO SE ENCUENTRA EN USO, LOS SERVICIOS EDUCATIVOS SE ESTAN BRINDANDO EN EL LOCAL ANTIGUO
- PRITE ILO: SE ENCUENTRA EN USO, SIN EMBARGO PISCINA DE HIDROTERAPIA NO SE ESTA USANDO PUESTO QUE REQUIERE DE ABASTECIMIENTO DE GAS PROPANO.
MEDIANTE OFICIO N° 055-2025-GRM/GGR-ORSLIP (07.07.2025) EL GR BRINDA INFORMACION SITUACIONAL DE LA PRITE MOQUEGUA INDICANDO QUE SE HA DADO INICIO A LA ELABORACION DEL ET DE SALDO DE OBRA EL 22 MAY 2025.
EL GR ALCANZO EL ACTA DE OBSERVACIONES A LA RECEPCION DE OBRA (NOV 2022), DE LA CUAL SE DETALLA ALGUNAS DE LAS OBSERVACIONES SIENDO:
- SECCION DE COLUMNAS EN CAMPO SON DIFERENTES A LAS INDICADAS EN LOS PLANOS (MODULO 01 Y 02)
- SECCION DE VIGA EN CAMPO ES DIFERENTE A LA INDICADA EN LOS PLANOS (MODULO 02)
- MEDIDAS DE PLACAS ESTRUCTURALES SON DIFERENTES A LAS INDICADAS EN LOS PLANOS (MODULO 05 Y 06)
- PRESENCIA DE FISURAS EN MUROS (AMBIENTE DE SUM, TOPICO, DIRECCION, ETC)
- ACABADO EN UNIONES DEFICIENTE
- ACABADO DE PINTURA DEFICIENTE
- PUERTAS DEFECTUOSAS CON PRESENCIA DE DEFORMACIONES Y GRIETAS
- MEDIDAS DE VENTANAS SON DIFERENTES  A LAS INDICADAS EN LOS PLANOS (GUARDIANIA, TOPICO, ETC)
- EMPALME A RED PUBLICA NO SE HA REALIZADO COMO LO DESCRITO EN LOS PLANOS
- EL SENTIDO, FLUJO Y PENDIENTES ENTRE LAS CAJAS DE REGISTRO NO SON LAS DESCRITAS EN LOS PLANOS
- SILLAS, ESCRITORIO, CAMILLA, BASUREROS, ETC NO COINCIDEN CON ESPECIFICACIONES TECNICAS
- EQUIPAMIENTO NO COINCIDE CON ESPECIFICACIONES TECNICAS
- ENTRE OTRAS
SE VERIFICA QUE CON FECHA 08 MAY 2025, EL GR HA REGISTRADO EN EL F12B QUE, A LA FECHA NO SE CUENTA CON LIQUIDACION DE OBRA POR LA NO RECEPCION DE LAS OBRAS. AL RESPECTO, INDICA QUE SE HA APROBADO, MEDIANTE R.G.R. N° 137-2025-GR.MOQ/GGR.GRI (29.04.2025), EL PLAN DE TRABAJO DE ELABORACION DEL EXPEDIENTE DE SALDO DE OBRA PARA CUMPLIR CON LA SUBSANACION DE OBSERVACIONES POR UN PLAZO DE 120 DC. </t>
  </si>
  <si>
    <t xml:space="preserve">LIQUIDACIÓN DE OBRA
LA OBRA SE ENCUENTRA CULMINADA Y RECEPCIONADA (04/03/2021). SE CUENTA CON LA RESOLUCIÓN DE GERENCIA GENERAL REGIONAL Nª0600-2021-GRPASCO/ GGR (08/11/2021) DE LA EJECUCIÓN DE LA OBRA Y LA RESOLUCIÓN DE GERENCIA GENERAL REGIONAL Nª0677-2021-GRPASCO/ GGR (16.12.2021) DE LA SUPERVISIÓN. 
MEDIANTE OFICIO N° 0000119-2026-MINEDU/VMGI-PRONIED-UGSC, EL 12/02/2026 LA UGSC SOLICITA INFORME MENSUAL SOBRE LA EJECUCIÓN DEL PROYECTO, USO DE LOS RECURSOS TRANSFERIDOS Y PRESENTACIÓN DE ESPECIALISTA A CARGO DEL MONITOREO Y SEGUIMIENTO DEL PROYECTO DE INVERSIÓN
SE NOTIFICÓ MEDIANTE  CORREO ELECTRÓNICO A LA OCI DEL GORE PASCO , EL OFICIO N°  1297-2025-MINEDU/VMGI-PRONIED-UGSC DONDE SE REMITE AL ORGANO DE CONTROL EL INCUMPLIMIENTO DE REGISTRO DE INFORMACIÓN Y CIERRE DEL PROYECTO DE INVERSIÓN.
</t>
  </si>
  <si>
    <t>DS N° 257-2021</t>
  </si>
  <si>
    <t>DS 061-2022
(Anexo 01)</t>
  </si>
  <si>
    <t>LEY N°31728</t>
  </si>
  <si>
    <t xml:space="preserve">SALDO DE OBRA CULMINADO (19.05.2025), RECEPCIONADO (06.06.2025) Y CUENTA CON LIQUIDACION DE OBRA APROBADA MEDIANTE R.G.G.R. N° 250-2025-GRSM/GGR CON UN SALDO A FAVOR DEL CONTRATISTA DE S/ 44,323.05.
OBRA PRIMIGENIA: AVANCE AL 59.54%. CON FECHA 09.09.2024 SE RESUELVE EL CONTRATO, POR ACUMULACIÓN DE PENALIDADES POR DEMORAS EN LA EJECUCIÓN DE LA OBRA.
SE VERIFICA QUE CON FECHA 15 OCT 2025, EL GR HA REGISTRADO EN EL F12B QUE SUPERVISION DE OBRA YA CUENTA CON LIQUIDACION APROBADA MEDIANTE RESOLUCIÓN GERENCIAL GENERAL REGIONAL N° 302-2025-GRSM/GGR, POR QUE SE ENCUENTRAN EN PROCESO DE LIQUIDACION FINAL DEL PI.
MEDIANTE INFORME N° 604-2025-MINEDU-VMGI-PRONIED-UZSANMARTIN (11.07.2025) EL MONITOR DE OBRA INFORMA QUE EN VISITA DEL 03 JUL 2025 VERIFICÓ LA PERSISTENCIA DE LAS SIGUIENTES OBSERVACIONES:
- EN LOS SSHH NO SE HA RESPETADO ESPACIO DE JUNTA DE DILATACION EN ENCHAPE DE ZOCALO DE CERAMICO
- EN EL CERCO PERIMETRICO ESTA PENDIENTE EL SELLADO DE JUNTAS EN MUROS
- EN VEREDA PERIMETRAL EXTERIOR ESTA PENDIENTE COLOCAR TAPA EN CAJA DE INSPECCION Y SELLADO DE JUNTAS DE DILATACION
- PENDIENTE MEJORAR ACABADO DE PINTURA DE RESANES
- EN TRÁMITE FUNCIONAMIENTO DE GRUPO ELECTROGENO
- SELLADO DE JUNTAS ASFALTICAS EN CORREDORES DE 2DO Y 3ER PISO NIVEL SECUNDARIA PRESENTAN DESPENDIMIENTO
- MEJORA DE PINTADO EN MONTANTE DE TRIBUNA
- SE EVIDENCIA UNA GOTERA EN TECHO DE AULA 15 A TRAVES DE JUNTA DE CIELORRASO
CON FECHA 19 JUN 2025 EL GR ALCANZA EL ACTA DE RECEPCION EN LA QUE SE INDICA QUE LA OBRA SE EJECUTÓ AL 98.55% Y SE HA CUMPLIDO CON LA SUBSANACION DE OBSERVACIONES EFECTUADAS POR EL COMITE DE RECEPCION DE OBRA EL 29 MAY 2025.
CON FECHA 27 MAY 2025, LA UGSC TOMO CONOCIMIENTO QUE EL GR REALIZO LA INAUGURACION DE LA OBRA SIN CONTAR CON ACTA DE RECEPCION DE OBRA. </t>
  </si>
  <si>
    <t>DU N° 100-2021
(ANEXO 01 Y 02)</t>
  </si>
  <si>
    <t>LEY N°31436
(Anexo 01)</t>
  </si>
  <si>
    <t>EN EJECUCIÓN DE OBRA</t>
  </si>
  <si>
    <t>CONTRATO RESUELTO
PROYECTO DE INVERSIÓN FUE BENEFICIADO POR ANEXO I DE LA LEY DE PRESUPUESTO DE 2025 POR UN MONTO S/8,379,123.00
GORE TACNA VIENE REALIZANDO EL EXPEDIENTE TÉCNICO DE SALDO DE OBRA, GORE TACNA INDICA QUE SE CUMPLIÓ CON EL 1ER ENTREGABLE DEL EXPEDIENTE DE SALDO DE OBRA DE FECHA 16/06/2025, CUMPLIÓ CON EL 2DO ENTREGABLE EL 15/08/2025 Y POR ÚLTIMO EL 3ER ENTREGABLE CUENTA CON UN PLAZO DE 30 DÍAS CALENDARIO Y 5 DÍAS DE EVALUACIÓN PARA EL 01/09/2025.
FECHA DE INICIO: 27/03/20222
PLAZO PROGRAMADO 660 DÍAS
TÉRMINO: 15/01/2024 
FECHA DE CULMINACIÓN ACTUAL: 11/06/2024
SUSPENCIÓN DE OBRA: 09/09/2024 
RESOLUCIÓN DE CONTRATO: 26/09/2024</t>
  </si>
  <si>
    <t>DS 178-2022</t>
  </si>
  <si>
    <t>EN EJECUCIÓN DE OBRA. 
PARA EL MES DE JULIO 2025, PRESENTA UN AVANCE FISICO DEL 27,03% FRENTE A UN 32,54% DE LO PROGRAMADO 
FECHA DE INICIO: 22/11/2023
PLAZO PROGRAMADO: 720 DÌAS
TÉRMINO DE OBRA: 11/11/2025
AMPLIACIÓN DE PLAZO N°01: 135 DÍAS CALENDARIOS
SUSPENCIÓN DE PLAZO N°01: 14 DIAS CALENDARIO 
SUSPENCIÓN DE PLAZO N°02 13 DÍAS CALENDARIO
PLAZO DE CONTRATO ACTUALIZADO: 882 DIAS 
FECHA DE TERMINO REAL DE OBRA: 21/04/2026</t>
  </si>
  <si>
    <t>DS 152-2024-EF</t>
  </si>
  <si>
    <t>SUSPENDIDA</t>
  </si>
  <si>
    <t>SUSPENDIDA
ACTA DE ENTREGA DE TERRENO: 14/11/2024, ACTA PARA DIFERIR INICIO DE PLAZO DE EJECUCIÓN DE OBRA: 21/11/2024, POR FALTA DE SUSCRIPCIÓN DE CONTRATO DE SUPERVISIÓN DE OBRA O DESIGNACIÓN DE INSPECTOR DE OBRA. ACTA DE INICIO DE OBRA: 02/12/2024 
MONITOR DE CAMPO, REMITE ACTA DE SUSPENSIÓN N°03 DE FECHA 18/12/2025, INDICANDO SUSPENSIÓN DEBIDO A LAS CONSTANTES PRECIPITACIONES PLUVIALES DE MODERADAS A INTENSAS LO QUE IMPOSIBILITA LA EJECUCIÓN DE LOS TRABAJOS
MEDIANTE INFORME N° 000117-2025-WJRM-MINEDU-VMGI-PRONIED-UZHU (28/10/2025) DE LA VISITA REALIZADA EL 15/10/2025 POR EL MONITOR ZONAL, SE INFORMA QUE DE LA VALORIZACIÓN DE SETIEMBRE SE TIENE UN AVANCE FÍSICO ACUMULADO DEL 49.80% VS UN PROGRAMADO DEL 45.73% SEGUN LO INDICADO POR LA SUPERVISIÓN. ADEMAS SE ADVIERTE QUE EXISTEN RIESGO DE DERRUBES EN EL TALUD, POR LO QUE, SE RECOMIENDA LA OPINIÓN DE ESPECIALISTA EN GEOTÉCNICA PARA ESTABILIZAR EL TALUD.
SE TIENE LA RESOLUCIÓN DE GERENCIAL GENERAL REGIONAL N° 595-2025-G.R.P./GGR (21/07/2025) EL CUAL APRUEBA EL EXPEDIENTE TÉCNICO DE ADICIONAL N° 01 EN RELACIÓN A ESTABILIZAR EL TALUD DEL TERRENO.
ADEMAS CUENTA CON LA RESOLUCIÓN DE GERENCIA GENERAL REGIONAL N° 745-2025-GRP/GGR DONDE SE APRUEBA LA AMPLIACIÓN DE PLAZO N° 01 POR 60 DIAS. POR LO TANTO, SU NUEVA FECHA DE TERMINO DE OBRA ES EL 06/03/2026.</t>
  </si>
  <si>
    <t>DS N° 086-2013-EF</t>
  </si>
  <si>
    <t xml:space="preserve">LIQUIDACIÓN DE OBRA
LA OBRA SE ENCUENTRA CULMINADA, RECEPCIONADA (28/12/2020) Y SE CUENTA CON LA RESOLUCION N°068-2021-MDCH/A CON FECHA 14/05/2021 DE LA LIQUIDACIÓN DE OBRA Y LA RESOLUCIÓN DE ALCALDÍA N° 221-2021-MDCH/AL CON FECHA 24/11/2024 DE LA LIQUIDACIÓN DE SUPERVISIÓN. SE TIENE PENDIENTE INFORMAR SOBRE LA TRANSFERENCIA A LA UGEL Y CIERRE DE PROYECTO.
SE NOTIFICÓ MEDIANTE  CORREO ELECTRÓNICO AL ÓRGANO DE CONTROL INSTITUCIONAL DE LA MUNICIPALIDAD PROVINCIAL DE CHOTA CON FECHA 01/10/2025, EL OFICIO N°1783-2025-MINEDU/VMGI-PRONIED-UGSC DONDE SE COMUNICA INCUMPLIMIENTO DE REGISTRO DE INFORMACIÓN Y CIERRE DEL PROYECTO DE INVERSIÓN CON CUI N° 2214588, A CARGO DE LA MUNICIPALIDAD DISTRITAL DE CHOROPAMPA.
</t>
  </si>
  <si>
    <t>DS N° 065-2014-EF</t>
  </si>
  <si>
    <t>DS 293-2022</t>
  </si>
  <si>
    <t>OBRA CULMINADA (07.10.2023), RECEPCIONADA (23.11.2023) Y CUENTA CON LIQUIDACION DE OBRA APROBADA MEDIANTE R.A. N° 0190-2023-MDAS (15.12.2023)
UEI NO HA INFORMADO EL ESTADO DE LA LIQUIDACION DE LA SUPERVISION DE OBRA.
MEDIANTE OFICIO N° 001684-2025-MINEDU/VMGI-PRONIED-UGSC (16.09.2025) SE COMUNICA AL OCI DE LA ENTIDAD EL INCUMPLIMIENTO DE REGISTRO DE INFORMACIÓN Y CIERRE DEL PI EN EL BANCO DE INVERSIONES A PESAR DE HABERSELE NOTIFICADO Y OTORGADO PLAZO PARA DICHO EFECTO, MEDIANTE EL OFICIO N° 000729-2025-MINEDU/VMGI-PRONIED-UGSC (30.12.2024).</t>
  </si>
  <si>
    <t>DS N° 208-2016-EF</t>
  </si>
  <si>
    <t>CONVENIO NO VIGENTE</t>
  </si>
  <si>
    <t>OBRA PARALIZADA
DESDE EL 14/04/2025 
03/12/2025: EL 27 DE NOVIEMBRE, SE HA REMITIDO CORREO ELECTRÓNICO AL JEFE DE LA OCI DEL GORE HUANCAVELICA CONSULTANDO POR ACCIONES DE CONTROL REALIZADAS, EN RELACIÓN AL PROYECTO DE INVERSIÓN
SE COMUNICÓ A LA OCI EL INCUMPLIMIENTO DE REGISTRO CIERRE DEL PROYECTO INVERSIÓN DEl PI, HABIENDO SIDO NOTIFICADO (13/112025) EL INFORME N° 1777-2025-COM CON EL OFICIO N° 2177-2025 -UGSC.
INICIO 21/11/2019 - según Acta
SUSPENDIDA DESDE EL 14/04/2025</t>
  </si>
  <si>
    <t>EN PROCESO DE LIQUIDACIÓN DE OBRA
26/11/2025: MEDIANTE CORREO ELECTRONICO EL 24/11/2025 SE LE HA SOLICITADO A LA ENTIDAD EL INFORME SITUACIONAL MENSUAL DEL PI RESPECTO A LAS ACCIONES DE CIERRE DE PROYECTO.
IE 555: 1ER CONTRATO RESUELTO POR ATRASO INJUSTIFICADO. 2DO CONTRATO: OBRA CULMINADA 13/04/2019, RECEPCIÓN 20/06/20219, CON LIQUIDACIÓN DE OBRA: RGGR Nº803-2019/GOB.REG.HVCA/GGR (05/12/2019) Y PENDIENTE LIQUIDACIÓN SUPERVISIÓN Y CONTRATO DE EJECUCIÓN DE OBRA 1ER CONTRATO
IE 558: 1ER CONTRATO RESUELTO POR ATRASO INJUSTIFICADO. 2DO CONTRATO OBRA CULMINADA 21/05/2018, RECEPCIONADA 25/09/2019, CON LIQUIDACIÓN DE OBRA: RGGR Nº843-2019/GOB.REG.HVCA/GGR (27/12/2019) Y Y LIQUIDACIÓN DE CONSULTORÍA DE SUPERVISIÓN DE OBRA: RGGR Nº254-2020/GOB.REG.HVCA/GGR (27/07/2020). PENDIENTE LIQUIDACIÓN DE CONTRATO DE EJECUCIÓN DE OBRA 1ER CONTRATO
IE 728: OBRA CULMINADA 16/11/2017, RECEPCIÓN 17/01/2018, LIQ DE CONTRATO DE OBRA: R.G.G.R Nº357-2018/GOB.REG-HVCA/GGR (07/08/2018) Y LIQUIDACIÓN DE SUPERVISIÓN: RGGR Nº610-018/GOB.REG.HVCA/GGR (13/12/2018)
IE 174: OBRA CULMINADA  05/11/2018, SIN RECEPCIÓN DE OBRA, POR OBSERVACIONES NO SUBSANADAS. EJECUCIÓN DE OBRA SE RESOLVIÓ CONTRATO, A TRAVÉS DE RGGR Nº397-2018-GOB-REG-HVCA-GGR (05/09/2018) APRUEBAN REALIZAR SUBSANACIÓN DE OBSERVACIONES PENDIENTES PARA RECEPCIÓN DE OBRA, LAS CUALES LEVANTÓ EL GORE LEVANTÓ DE MANERA DIRECTA Y SE ENCUENTRAN EN PROCESO DE LIQUIDACIÓN. IE EN USO 
IE 521: OBRA CULMINADA  30/04/2018, RECEPCIÓN 27/06/2018, CON LIQUIDACIÓN DE OBRA: RGGR Nº465-2018/GOB.REG.HVCA/GGR (27/09/2018) Y LIQUIDACIÓN SUPERVISIÓN: RGGR Nº508-2018/GOB.REG.HVCA/GGR (29/10/2018)
IE 549: OBRA CULMINADA  03/10/2017, RECEPCIÓN 11/12/2017. CON LIQUIDACIÓN DE OBRA: RGGR Nº227-2018/GOB.REG.HVCA/GGR (16/05/2018), CORREGIDO A TRAVÉS DE RGGR Nº802-2019/GOB.REG.HVCA/GGR (04/12/2019)
PROYECTO CONSIDERA 06 IIEE, DE LAS CUALES 04 IIEE CUENTAN CON LIQUIDACIONES DE CONTRATO DE OBRA Y CONSULTORIA DE SUPERVISIÓN, 01 IIEE (IE Nº555) CUENTA CON LIQUIDACIÓN DE OBRA Y SE ENCUENTRA PENDIENTE LIQUIDACIÓN DE CONSULTORIA DE SUPERVISIÓN Y 01 IIEE (IEI Nº174)  CULMINADA EN EL AÑO 2017, HABIENDO  PRESENTADO OBSERVACIONES NO SUBSANADAS EN PLAZO ESTABLECIDO, RESOLVIENDO CONTRATO.  EN NOVIEMBRE 2024, UEI INDICA QUE HAN ASIGNADO MONITOR TÉCNICO RESPONSABLE QUE SE CULMINEN LA LIQUIDACIÓN DE EJECUCIÓN DE OBRA Y CONSULTORÍA, POSTERIOR A ELLO REALIZARÁN LA LIQUIDACIÓN TÉCNICA FINANCIERA FINAL.</t>
  </si>
  <si>
    <t>DS N° 073-2016-EF</t>
  </si>
  <si>
    <t xml:space="preserve">LIQUIDACIÓN DE OBRA
LA OBRA SE ENCUENTRA CULMINADA (28/02/2017) Y RECEPCIONADA (27/03/2017), CUENTA CON RESOLUCION DE ALCALDIA N°105-2017-MDCH (26/04/2017) DE LA LIQUIDACION DE LA OBRA Y LA RESOLUCIÓN DE ALCADÍA N 181-2017-MDCH (07/08/2017) DE LA LA LIQUIDACIÓN DE SUPERVISIÓN. ADICIONALMENTE SE TIENE LA RESOLUCION DE ALCALDIAN°045-2024-MDCH/DA,DONDE SE APRUEBA EL RECONOCIMIENTO DEL PAGO POR REAJUSTE DE APLICACIÓN DE FORMULA POLINOMICA DE OBRA Y ADICIONAL POR ELMONTO DE 29,349.00.
SE NOTIFICÓ MEDIANTE  CORREO ELECTRÓNICO AL JEFE DE OCI DE LA MUNICIPALIDAD PROVINCIAL DE CUTERVO CON FECHA 09/05/2025, EL OFICIO N°  694-2025-MINEDU/VMGI-PRONIED-UGSC DONDE SE COMUNICA INCUMPLIMIENTO DE REGISTRO DE INFORMACIÓN Y CIERRE DEL PROYECTO DE INVERSIÓN CON CUI N° 2247995. 
</t>
  </si>
  <si>
    <t>DS N° 330-2016-EF</t>
  </si>
  <si>
    <t>RECEPCIÓN DE OBRA
OBRA RECEPCIONADA 20.09.2017. 
OBRA PRESENTARÍA OBSERVACIONES. EN EL 2019 UEI INDICABA REQUERÍA OBRA COMPLEMENTARIA PERO NO SE TIENE INFORMACIÓN DEL ET
LA UEI REMITE EL OFICIO N° 014-2025-MDSDC/GM (02/06/2025) EL CUAL TRASLADA EL INFORME N° 154-2025-MDSB/SGIDUR/JDMS (27/05/2025) DONDE INDICAN EL ESTADO SITUACIONAL DE LA OBRA, POR LO TANTO, SE INDICA QUE MEDIANTE CARTA N° 062-2018-GG-CONSORCIO LA CAPILLA (17/11/2017) SE REMITE LA LIQUIDACIÓN, EN EL CUAL INDICA QUE SE TIENE UN SALDO ADEUDADO DE S/ 327,656.88. POR ELLO, NO SE HA PODIDO PROCEDER CON EL CIERRE DEL PROYECTO, NI LA TRASNFERENCIA POR FALTA DE PRESUPUESTO PARA PAGOS DE REAJUSTE.</t>
  </si>
  <si>
    <t>LIQUIDACIÓN DE OBRA
EL PROYECTO CONSTA DE 06 IIEE, LAS CUALES ESTAN CULMINADAS. CUYO AÑO DE INICIO FUE EL 2017, CONCLUYENDO EN EL 2022. SE ENCUENTRA EN PROCESO DE LIQUIDACION FINANCIERA, LA CUAL SE REALIZARA EN CONJUNTO TANTO LA PARTE POR CONTRATA COMO POR AD POR EL MONTO DE S/ 16,542,242.04
IEI 450: CON LIQUIDACION TECNICA Y FINANCIERA RGR N° 038-2023-GR CUSCO/GRSLI
IEI 216: CON LIQUIDACION DE CONTRATO RGG N° 464-2019-GR CUSCO/GGR
IEI 439: CON LIQUIDACION DE CONTRATO RGR N° 142-2021-GR CUSCO/GGR
IEI 469: CON LIQUIDACION DE CONTRATO RGG N° 156-2021-GR CUSCO/GGR
IEI 447: CON LIQUIDACION DE CONTRATO RGG N°101-2021-GR CUSCO/GGR
IEI 332: CON LIQUIDACION DE CONTRATO RGG N° 226-2020-GR CUSCO/GGR
PENDIENTE EJECUCION DEL COMPONENTE 3 DE CAPACTIACION</t>
  </si>
  <si>
    <t xml:space="preserve">LIQUIDACIÓN DE OBRA
26/11/2025: MEDIANTE CORREO ELECTRONICO EL 24/11/2025 SE LE HA SOLICITADO A LA ENTIDAD EL INFORME SITUACIONAL MENSUAL DEL PI RESPECTO A LAS ACCIONES DE CIERRE DE PROYECTO.
27/05/2025 DESDE LA UGSC SE NOTIFICÓ A LA UEI, VÍA CORREO ELECTRÓNICO, EL OFICIO N° 0828-2025-MINEDU-VMGI-PRONIED-UGSC DE FECHA 26/05/2025 LA SOLICITUD DE CIERRE DE PI Y REMISIÓN DEL ESTADO SITUACIONAL MENSUAL SOBRE LA EJECUCIÓN DEL PI Y EL USO DE RECURSOS TRANSFERIDOS.
SSI actualizado al 15/01/2025] : * LIQUIDACIÓN DE EJECUCIÓN CONTRACTUAL N° 106-2018/ORA , APROBO R.G.G.R. N° 823- 2019/GOB.REG.HVCA/GGR. * EN ELABORACIÓN DE LA LIQUIDACIÓN DE CONSULTORIA POR MAYOR REDUCCIÓN DE CONTRATO. 
 CONTINUA PENDIENTE PRESENTAR LA LIQUIDACIÓN DE CONSULTORIA DE OBRA POR PARTE DEL SUPERVISOR DE OBRA 
OBRA CULMINADA: 31 MAY 2019, RECEPCIONADA: 12 JUL 2019, CUENTA CON LIQUIDACIÓN DE OBRA APROBADA MEDIANTE RGGR N° 823-2019/GOB.REG.HVCA/GGR. PENDIENTE LIQUIDACIÓN DE SUPERVISIÓN DE OBRA
</t>
  </si>
  <si>
    <t>LIQUIDACION DE OBRA_
CONVENIOS 435-2015-MINEDU Y 091-2018-MINEDU Y CONVENIO 2019 
OBRA POR ADM DIRECTA 
SEGÚN SSI, OBRA CONCLUYO EN EL MES DE NOVIEMBRE DEL 2018. EN CUMPLIMIENTO AL EXPEDIENTE TÉCNICO. EL PROYECTO SE ENCUENTRA EN PROCESO DE LIQUIDACION, LA OBRA TIENE UNA EJECUCION FISICA AL 99.99 %, DE LOS CUALES SE PRESENTO LA LIQUIDACION DEL DICHO PROYECTO A PRONIED. CUENTA CON INFORME DE LIQUIDACION POR PARTE DE LA UEI 
EJECUCIÓN: RESOLUCION DE ALCALDÍA N°0344-2018-MDZ/A 27/12/2018 
SUPERVISIÓN: UEI NO HA REMITIDO INFORMACION.
EL 27/08/2025 SE NOTIFICÓ A OCI CON OFICIO N° 001498-2025-MINEDU-VMGI-PRONIED-UGSCS E INFORME N° 001224-2025-MINEDU-VMGI-PRONIED-UGSC-COMS (EXP. I-003972-2025)</t>
  </si>
  <si>
    <t>DS N° 209-2015-EF</t>
  </si>
  <si>
    <t xml:space="preserve">LIQUIDACION DE OBRA_
OBRA CULMINADA (2017), RECEPCIONADA (JUL 2017) Y CUENTA CON LIQUIDACIÓN DE OBRA: 
EJECUCIÓN: RESOLUCION DE ALCALDÍA N°0286-2018-MDLM/A al 26 de diciembre del 2018 
SUPERVISIÓN: UEI NO HA REMITIDO INFORMACION 
</t>
  </si>
  <si>
    <t>DS N° 099-2019-EF
(27)
UE:PRONIED</t>
  </si>
  <si>
    <t>II ETAPA: OBRA CULMINADA (31.12.2019), RECEPCIONADA (22.05.2020) Y CUENTA CON LIQUIDACION DE OBRA APROBADA MEDIANTE R.G. N° 125-2023-GIDUR/MDP (29.11.2023).
I ETPA: OBRA CULMINADA (2017), RECEPCIONADA (2018) Y CUENTA CON LIQUIDACIÓN DE OBRA: R.A. N° 207-2018-MDP (06.04.2018).
MEDIANTE OFICIO N° 155-2025-ALC/MDP (27.02.2025) LA MD RESPONDE AL OFICIO 067-2025-MINEDU/VMGI-PRONIED-UGSC (17.02.2025) E INFORMA QUE SE HA INCORPORADO AL PMI EL SERVICIO DE CONSULTORIA DE LA ELABORACION DE LA LIQUIDACION DE LAS 2 ETAPAS PARA EL POSTERIOR CIERRE DE PI EN EL BANCO DE INVERSIONES.
MEDIANTE OFICIO N° 001124-2025-MINEDU/VMGI-PRONIED-UGSC (08.07.2025) SE COMUNICA AL OCI DE LA ENTIDAD EL INCUMPLIMIENTO DE REGISTRO DE INFORMACIÓN Y CIERRE DEL PI EN EL BANCO DE INVERSIONES A PESAR DE HABERSELE NOTIFICADO Y OTORGADO PLAZO PARA DICHO EFECTO, MEDIANTE EL OFICIO N° 000067-2025-MINEDU/VMGI-PRONIED-UGSC (17.02.2025).</t>
  </si>
  <si>
    <t>JUDICIALIZADO POR PROBLEMAS CON LA LIQUIDACIÓN DE OBRA; RECIBIÓ FINANCIAMIENTO LOS AÑOS 2020, 2021, 2022, 2024 Y 2025; LOS CUALES NO HA SIDO EJECUTADO HASTA LA FECHA. 
Culminación: 05/07/2018
Liquidación:  2018
Recepción:  25/07/2018</t>
  </si>
  <si>
    <t>2016</t>
  </si>
  <si>
    <t>AGOSTO _ MEDIANTE NUMERO DE EXPEDIENTE : I-020147-2025, OFICIO N 1446-2025-MINEDU-VMGI-PRONIED-UGSC SE HACE REMISION AL ORGANO DE CONTROL INSTITUCIONAL SOBRE INCUMPLIMIENTO DE CIERRE DEL PROYECTO DE INVERSIÓN CON CUI N 2198650, A CARGO DE LA MUNICIPALIDAD DISTRITAL DE SINSICAP.
29/01/2025 UEI REGISTRA EN EL F12 DEL SSI DE FECHA 12/12/2024 QUE EL PROYECTO SE EJECUTO EN EL AÑO 2016 Y CULMINO EN EL AÑO 2018; PROYECTO NO LIQUIDADO A LA FECHA. EL EXPEDIENTE QUE SE APROBO LA OBRA CON RESOLUCION ALCALDIA 185-2016-RA-MDS. EN PROCESO DE LIQUIDACION.
OBRA NO CULMINADA SIN EMBARGO FUE RECEPCIONADA EN JULIO DE 2018 Y SE ENCUENTRA EN USO DESDE EL 2020. PI JUDICIALIZADO POR INTERVENCIÓN DE CONTRALORÍA Y FISCALÍA PROVINCIAL CORPORATIVA ESPECIALIZADA EN DELITOS DE CORRUPCIÓN DE FUNCIONARIOS DE LA LIBERTAD.
SE INFORMA QUE AL MOMENTO DE LA RECEPCIÓN LA UNIDAD ZONAL REALIZÓ VISITAS DE INSPECCIÓN A LA OBRA ENCONTRANDOLA EN EL MES DE JUNIO 2018 EN UN 90% Y EN EL MES DE SETIEMBRE 2018 EN UN 95% POR LO QUE OBRA FUE RECEPCIONADA SIN HABERSE CULMINADO Y EN PLENA EJECUCIÓN DE OBRA.</t>
  </si>
  <si>
    <t>LIQUIDACIÓN DE OBRA
OBRA CULMINADA 21/06/2018  ACTA DE RECEPCIÓN 31/08/2018
CON LIQUIDACIÓN DE OBRA: RESOLUCION DE ALCALDIA N° 160-2018/MDCF-S/A FECHA 22.11.2018.
PENDIENTE UEI REMITA E INFORME SOBRE LIQUIDACIÓN DE SUPERVISIÓN DE OBRA Y ACTA DE TRANSFERENCIA DE IE, PARA EL CIERRE DEL PI
DESDE LA UGSC, SE HA REMITIDO A LA OCI DE LA MUNICIPALIDAD PROVINCIAL DE HUANCABAMBA, EL DÍA 31/07/2025 EL OFICIO N° 1251-2025-MINEDU/VMGI-PRONIED-UGSC, COMUNICANDO EL INCUMPLIMIENTO DE REGISTRO DE INFORMACIÓN Y CIERRE DEL PROYECTO DE INVERSIÓN CON CUI Nº 22263396, A CARGO DE LA MD CARMEN DE LA FRONTERA</t>
  </si>
  <si>
    <t xml:space="preserve">CONTRATO RESUELTO 
OBRA PRINCIPAL: INICIO 16/12/2016 - TERMINO PROGRAMADO 28/06/2017
CONTRATO RESUELTO: EL 29/08/2017 SE RESUELVE REALIZAR INTERVENCIÓN ECONÓMICA - EL 31/12/2018 SE NOTIFICA A CONTRATISTA RESOLUCION DE CONTRATO (RA Nº 474-2018-MDLA/A - 26/12/2018)  - 
LA OBRA SE ENCUENTRA EN USO - INCONCLUSA
LA UGSC REMITE EL 21/11/2025, EL OFICIO N° 002248-2025-MINEDU-VMGI-PRONIED-UGSC, A TRAVÉS DEL CUAL, SE DA RESPUESTA A OFICIO N° 035-2025-MDLA/GM, REMITIDO POR LA MD LA ARENA, REITERANDO LA SOLICITUD DE INFORMACIÓN EN RELACIÓN AL ESTADO DEL PI Y EL PLAN DE CONTINGENCIA, POR LO CUAL, SE DA UN PLAZO DE 7 DH DESDE RECIBIDO EL DOCUMENTO. 
UNIDA ZONAL REMITE INFORME N° 001200-2025-MINEDU-VMGI-PRONIED-UZPIU, TRASLADANDO INFORME DE MONITOR DE CAMPO REALIZADA EL DÍA 26/11/2025. INDICANDO QUE, DURANTE EL PROCESO DE LA OBRA, EL SERVICIO ESCOLAR SE BRINDÓ EN MÓDULOS PREFABRICADOS INSTALADOS EN LA IE 14947, POSTERIORMENTE DEBIDO A LA INCOMODIDA E INSISTENCIA DE LA APAFA, ESTÁN USANDO LAS INSTALACIONES DE LA OBRA DE LA IE 14121. ASIMISMO, SEGUN LO INDICADO POR EL DIRECTOR DE LA IE, SE HAN REALIZADO MEJORAS EN EL SIST DE INST ELÉCTRICAS, EL FUNCIONAMIENTO DEL SISTE CISTERNA-TANQUE ELEVADO, CON RECURSOS DE MI MANTENIMIENTO 2024 Y 2025, LAS CUALES QUEDARON PENDIENTES DE CULMINAR. </t>
  </si>
  <si>
    <t>LIQUIDACIÓN DE OBRA
OBRA CULMINADA 23/10/2017 - ACTA DE RECEPCIÓN 11/12/2017 CON LIQUIDACIÓN DE OBRA: RESOLUCIÓN DE ALCALDIA N° 162-2018-MPM-CH-A (28/03/2018)
LIQUIDACIÓN DE SUPERVISIÓN: RESOLUCIÓN DE ALCALDÍA Nº 185-2018-MPM-CH-A (06/04/2018)
SEGÚN LO REGISTRADO POR LA MUNICIPALIDAD EN BANCO DE INVERSIONES: OBRA COMPLEMENTARIA ESTARÍA CULMINADA Y EN ELABORACIÓN DE LIQUIDACIÓN DE OBRA
DESDE LA UGSC, SE HA REMITIDO A LA OCI DE LA MUNICIPALIDAD, EL DÍA 10/07/2025 EL OFICIO N° 1151-2025-MINEDU/VMGI-PRONIED-UGSC, COMUNICANDO EL INCUMPLIMIENTO DE REGISTRO DE INFORMACIÓN Y CIERRE DEL PROYECTO DE INVERSIÓN CON CUI Nº 2224675, A CARGO DE LA MENCIONADA MUNICIPALIDAD</t>
  </si>
  <si>
    <t>DS N° 062-2017-EF</t>
  </si>
  <si>
    <t>LIQUIDACIÓN DE OBRA
OBRA PRINCIPAL CULMINADA: 29/08/2019 - ACTA DE RECEPCIÓN 16/09/2019 
OBRA COMPLEMENTARIA (COBERTURA DE LOSA) CULIMADA 31/10/2021 CON LIQUIDACIÓN DE OBRA: RESOLUCIÓN DE ALCALDÍA N°487-2021-MDM/A (29/12/2021)
PENDIENTE UEI REMITA E INFORME SOBRE LIQUIDACIÓN DE OBRA PRINCIPAL, SUPERVISIÓN DE OBRA Y ACTA DE TRANSFERENCIA DE IE, PARA EL CIERRE DEL PI
DESDE LA UGSC SE HA REMITIDO EL 25/06/2025, EL OFICIO N° 996-2025-MINEDU-VMGI-PRONIED-UGSC A LA OCI DE LA MP HUAMALIES, COMUNICANDO EL INCUMPLIMIENTO DE REGISTRO DE INFORMACIÓN Y CIERRE DEL PROYECTO DE INVERSIÓN CON CUI Nº 21490240, A CARGO DE LA MD MONZON</t>
  </si>
  <si>
    <t xml:space="preserve">RECEPCIÓN DE OBRA _PENDIENTE  LIQUIDACIÓN  Y CIERRE F N°09_CONTINÚA EN EJECUCIÓN (4TA ETAPA)
29/12/2025: DESDE LA UGSC CON FECHA 29/12/22025 SE NOTIFICÓ A LA UEI, VÍA CORREO ELECTRÓNICO, EL OFICIO 2358 -2025-MINEDU-VMGI-PRONIED-UGSC Y EL INFORME N° 1992-2025-COMS MEDIANTE LOS CUALES SE SOLICITA A LA UEI EFECTÚE EL CIERRE DE PI Y REMITA UN INFORME SOBRE LAS ACCIONES REALIZADAS PARA EL CIERRE DEL MISMO
CONSTA DE 2 ETAPAS CULMINADAS Y RECEPCIONADAS
CULMINADA 14/08/2017 - 1RA ETAPA
CULMINADA 14/10/2018 - 2DA ETAPA
</t>
  </si>
  <si>
    <t>OBRA CULMINADA (2018) Y RECEPCIONADA (FEB 2019).
SEGÚN LO REGISTRADO EN EL FORMATO 12B SE ENCUENTRA EN PROCESO DE ELABORACION DE TERMINOS DE REFERENCIA PARA LIQUIDACION DE PI. MEDIANTE INFORME N° 000741-2025-MINEDU-VMGI-PRONIED-UZJU (05.08.2025) LA UZ JUNIN REPORTA QUE EL SUB GDUR INFORMA QUE A LA FECHA PI NO HA SIDO CERRADO EN EL BANCO DE INVERSIONES DEBIDO A QUE SE CUENTA CON PAGOS PENDIENTES (SOLICITUD DE LA SUPERVISION POR EL PAGO DE MAYORES GASTOS GENERALES) LO CUAL SE ENCUENTRA EN EVALUACION DEL PROCURADOR DE LA ENTIDAD.
MEDIANTE OFICIO N° 000580-2025-MINEDU-VMGI-PRONIED-UGSC (28.04.2025) SE SOLICITA EL INFORME SITUACIONAL MENSUAL SOBRE LA EJECUCIÓN DEL PROYECTO Y EL USO DE LOS RECURSOS TRANSFERIDOS</t>
  </si>
  <si>
    <t>LIQUIDACIÓN DE OBRA
OBRA CULMINADA 03/09/2017 - ACTA DE RECEPCIÓN 04/10/2017 
CON LIQUIDACIÓN DE OBRA: RESOLUCIÓN DE ALCALDIA N°116-10-2017-A-MDL
UEI INDICA QUE NO PUEDEN REALIZAR EL CIERRE DEL PROYECTO EN EL BANCO DE INVERSIONES, AL NO ENCONTRAR EN EL ACERVO DOCUMENTARIO DE LA MUNICIPALIDAD, EL ACTA DE RECEPCIÓN NI EL SUSTENTO DE LA TRANSFERENCIA A LA UGEL, POR LO CUAL, HAN INICIADO BUSQUEDA Y RECONSTRUCCIÓN DOCUMENTARIA. ASIMISMO, INDICAN HABER VERIFICADO QUE LA OBRA HA SIDO CONCLUIDA Y ESTÁ EN USO. 
DESDE LA UGSC SE HA REMITIDO EL 05/09/2025, EL OFICIO N° 1526-2025-MINEDU-VMGI-PRONIED-UGSC A LA OCI DEL GORE PIURA, COMUNICANDO EL INCUMPLIMIENTO DE REGISTRO DE INFORMACIÓN Y CIERRE DEL PROYECTO DE INVERSIÓN CON CUI Nº 2235753, A CARGO DE LA MD LOBITOS</t>
  </si>
  <si>
    <t>LIQUIDACIÓN DE OBRA
LA OBRA SE ENCUENTRA OBRA CULMINADA (AGO 2018), RECEPCIONADA (26/10/2018) Y LIQUIDADA (2019). CUENTA CON LA R.A N° 015-2019/MDH/A DE LA LIQUIDACIÓN DE OBRA CON SALDO A FAVOR DEL CONTRATISTA DE S/ 176,102.03 Y LA R.A N° 213-2018/MDH/A (21/01/2018) DE LA LIQUIDACIÓN DE SUPERVISIÓN, SEGUN LO REGISTRADO EN EL SISCONV. MEDIANTE EL OFICIO N 153-2024-MDH/A SOLICITA A LA UGEL DE JAEN COPIA FEDATEADA DEL ACTA DE TRANSFERENCIA DEL PROYECTO DE INVERSIÓN, OBTENIENDO COMO RESPUESTA DE LA UGEL DE JAEN MEDIANTE EL OFICIO N 914-2024/GR-DRE-CAJ-UGEL-J-DIR DONDE INDICAN QUE NO SE TIENE NINGUNA DOCUMENTACIÓN DE TRANSFERENCIA REALIZADA POR LA ENTIDAD. 
SE NOTIFICÓ MEDIANTE  CORREO ELECTRÓNICO A LA UEI CON FECHA 27/06/2025, EL OFICIO N°  1045-2025-MINEDU-VMGI-PRONIED-UGSC DONDE SE COMUNICA A LA OCI DE LA MUNCIPALIDAD PROVINCIAL DE JAEN, EL INCUMPLIMIENTO DE REGISTRO DE INFORMACIÓN Y CIERRE DEL PROYECTO DE INVERSIÓN.</t>
  </si>
  <si>
    <t>LIQUIDACIÓN
OBRA CULMINADA 15/04/2018 Y RECEPCIONADA 20/04/2018
 LIQUIDACION DE OBRA: RESOLUCION DE ALCADIA 668-2018-MPE/C POR SALDO DE S/.378,682.88 A FAVOR DEL CONTRATISTA, LIQUIDACION DE SUPERVISION:  RESOLUCION DE ALCADIA 715-2018 -MPE/C CON UN SALDO DE S/29,191.32 A FAVOR DEL CONTRATISTA
PAGO PENDIENTE A LA SUPERVISION POR EL MONTO DE S/ 16,893.47. ACTUALMENTE SE ENCUENTRA EN LA COMISION DE RECONOCIMIENTO DE DEUDA CON REGISTRO N° 1815 DE FECHA 18/10/24.</t>
  </si>
  <si>
    <t>LIQUIDACIÓN DE OBRA
LA MP  INCUMPLE CON EL ENVÍO DE LA INFORMACIÓN ACTUALIZADA DEL PROYECTO.
CULMINADA EL 07 DE ENERO 2017, RECEPCIONADA EL 31 DE ENERO 2017 Y CON LIQUIDACION DEL 23 DE MAYO 2017</t>
  </si>
  <si>
    <t xml:space="preserve">RECEPCIÓN DE OBRA ___PENDIENTE LIQUIDACIÓN DE OBRA Y CIERRE DE F N°09
LA OBRA CULMINO EL 31 DE JULIO DEL 2018 TENIENDO LA LIQUIDACION EN 22 DE OCTUBRE DEL 2018
DESDE LA UGSC, SE HA REMITIDO  A LA UEI EL 01/10/2025 EL OFICIO N° 01789-2025-MINEDU/VMGI-PRONIED-UGSC (I-013885-2025), SOLICITUD DE REMISIÓN DEL ESTADO SITUACIONAL DEL PI. PENDIENTE QUE LA UEI REMITA INFORME. SIN RESPUESTAS DE LA UEI
30/07/2025 DESDE LA UGSC, SE HA REMITIDO  A LA UEI EL 25/07/2025 EL OFICIO N° 01266-2025-MINEDU/VMGI-PRONIED-UGSC (I-013885-2025
V-1), SOLICITUD DE REMISIÓN DEL ESTADO SITUACIONAL DEL PI. PENDIENTE QUE LA UEI REMITA INFORME
OBRA CULMINADA JULIO 2018)
</t>
  </si>
  <si>
    <t xml:space="preserve">LIQUIDACIÓN DE OBRA
CONVENIOS 388-2017-MINEDU Y 046-2018-MINEDU
INICIO: 06/11/20219
PLAZO: 180 D/C
CULMINACION CONTRACTUAL: 14/07/2019
-(03 IE)
OBRAS RECEPCIONADAS A LAS 29/09/19 LA MUNICIPALIDAD DISTRITAL DE MARA REMITIO EL OFICIO N° 334-2019 – MDM/AL/COT/APU INDICANDO QUE A LA FECHA SE ENCUENTRAN CULMINADAS Y RECEPCIONADAS 
I.E. N° 50673 CURCA, 
I.E. N° 50660 HUAYLLURA
I.E.  N° 51040 HUARUMA 
EL 25/08/2025 SE REMITIÓ A LA MD DE MARA SOBRE EL INCUMPLIMIENTO DEL CIERRE CON OFICIO N° 001448-2025-UGSCS E INFORME N° 001191-2025--UGSC-COMS (EXP. I-009855-2025)
A PARTIR DEL 10/09/2025 ENVIAR A OCI, DE NO RECIBIR RESPUESTA.
15/10/2025, MEDIANTE CORREO SE SOLICITA A LA MD DE MARA INFORME SITUACIONAL DEL MES DE SETIEMBRE
27/10/2025, CON EXPEDIENTE  E-034997-2025, LA MD DE MARA REMITE EL OFICIO N° 831-2025/AL/MDM/COT/APU, SOBRE EL ESTADO SITUACIONAL DEL PI:
*EL PI SE ENCUENTRA CULMINADO. 
*TIENEN DOCUMENTACION INCOMPLETA, LAS CUALES LAS CMPLETARAN  UNA VEZ TENGAN LA LIQUIDACION DE LA INVERSION.
*ASIMISMO ENVIARON UN DRIVE, EL CUAL NO SE PUEDE ABRIR, POR LO QUE SE LE ENVIARA UN CORREO AL RESPECTO.
30/10/2025, SE ENVIA CORREO A LA MD DE MARA SOLICITANDO ENVIEN NEL LINK DEL DRIVE, EL CUAL NO SE PUEDE ABRIR.
</t>
  </si>
  <si>
    <t>RECEPCION DE OBRA
CONVENIOS 391-2017-MINEDU Y  121-2019-MINEDU
OBRA CULMINADA (25.05.2019), 
RECEPCIONADA (01.08.2019).
26/08/2025, SE PROYECTO INFORME Y OFICIO, SOLICITANDO INFORM DE CIERRE DEL  PI.
EL 02/09/2025, SE NOTIFICÓ OFICIO N° 001541-2025-UGSC, SOBRE INCUMPLIMIENTO DE CIERRE (EXP. I-009856-2025)</t>
  </si>
  <si>
    <t>LIQUIDACION DE OBRA 
CONVENIOS "390-2017-MINEDU Y 151-2018-MINEDU
PI CONTEMPLA EJECUCION DE 9 IES, DE LAS CUALES 8 IE (IEI 748 COLLPA, IEI 188 MOLLOCCO, IEI 1056 ANCO, IEI 747 TATAPAMPA, IEI 798 SANTA ROSA, IEI 031 PACHACONAS, IEI 797 MATUCANI, IEI 664 HUACULLO) CULMINARON SU EJECUCIÓN EN EL AÑO 2019. 
RESPECTO A LA IE 551 SE INFORMA LO SIGUIENTE:
OBRA PRIMIGENIA: 81.47% (ABR 2019)
SALDO DE OBRA (AD): CULMINADO (15.07.2024) AL 84.70% POR CONTAR CON DEDUCTIVOS. EN AGO 2024 FUE TRANSFERIDO A LA UGEL.
PENDIENTE COMPONENTE 3 EN 9 IIEE
IEI 1055 NO SE EJECUTO
**MEDIANTE CORREO ELECTRONICO (06.12.2024) SE LE SOLICITO INFORME SITUACIONAL ACTUALIZADO.
CON EXP.  I-017103-2025, SE ENVIO OFICIO N° 001086-2025-MINEDU-VMGI-PRONIED-UGSC  COMUNICANDO INCUMPLIMIENTO DE REGISTRO DE INFORMACIÓN Y CIERRE DEL PI, NOTIFICADA EL 02/07/2025.
09/09/2025, SE NOTIFICA A OCI CON EL  OFICIO N° 001619-2025-MINEDU-VMGI-PRONIED-UGSC.</t>
  </si>
  <si>
    <t xml:space="preserve">CONTRATO RESUELTO POR INCUMPLIMIENTO DE LEVANTAMIENTO DE OBSERVACIONES Y ACUMULACION DE MAXIMA PENALIDAD.
CONVENIOS 326-2017-MINEDU Y 039-2018-MINEDU
OBRA CULMINADA 03/12/23, EN PROCESO DE RECEPCION
CON FECHA 25/03/24, MEDIANTE CARTA NORTARIAL SE COMUNICA A LA EMPRESA CONTRATISTA LA RESOLUCION DE CONTRATO POR INCUMPLIMIENTO DE OBLIGACIONES CONTRACTUALES Y ACUMULACION DE PENALIDAD MAXIMA 
MEDIANTE COMUNICACION TELEFONICA (02.12.2024) EL GERENTE DE INFRAESTRUCTURA DE LA ENTIDAD INFORMA QUE SE HA VERIFICADO QUE CONTRATISTA PRESENTÓ EN LA VALORIZACION FINAL DE OBRA QUE SE HABRÍA LLEGADO AL 100%, LA CUAL FUE PAGADA; SIN EMBARGO, EN OBRA VERIFICA QUE SE ENCONTRARÍAN PARTIDAS PENDIENTES DE EJECUCIÓN RELACIONADAS A LAS INSTALACIONES SANITARIAS Y ELECTRICAS. GERENTE INFORMA QUE SE HA PREPARADO UN INFORME DE ESTA SITUACION PARA SER PRESENTADO A LA FISCALIA Y SE INICIEN LAS INVESTIGACIONES A LOS FUNCIONARIOS RESPONSABLES.
ASIMISMO INFORMA QUE DESPUES DE RESOLVER ESTAS CONTROVERSIAS SE DECIDIRÁ SI SE REALIZARÁ UN SALDO DE OBRA O NO.
**MEDIANTE CORREO ELECTRONICO (06.12.2024) SE LE SOLICITO INFORME SITUACIONAL ACTUALIZADO.
12/06/2025, MEDIANTE CORREO, SE SOLICITO INFORME SITUACIONAL DE MAYO 2025, CON PLAZO HASTA EL 20/06/2025.
12/06/2025, MEDIANTE CORREO, SE SOLICITO INFORME SITUACIONAL DE MAYO 2025, CON PLAZO HASTA EL 20/06/2025.
JULIO, CON EXP-I-014122-2025 SE REMITE OFICIO N° 001190-2025-MINEDU-VMGI-PRONIED-UGSC, REITERANDOLE  INF. SITUAC. DANDOLE UN PLAZO DE 05 DIAS, LUEGO SE ENVIARÁ A OCI.
15/08/2025, EXPEDIENTE E-026513-2025, LA MD DE TINTAY REMITE OFICIO 034-2025-MDT-GM  Y DETALLA LO SIGUIENTE:
-Paralizada desde enero del 2024.
-Parcialmente el Uso.
-La ejecucion de la obra se encuentra e investigacion fiscal. Se reprogramo la constatcion fisica para el 22,08,2025.
-Se encuentra en elabracion el Expediente Tecnico del saldo y corte de obra.
*CON EXP. E-027246-2025, LA MD. DE TINTAY REMITE  OFICIO 286-2025-A-MDT-AYM (22/08/2025) EN RESPUESTA AL CORREO DEL 15/8/2025  EMITIDO POR COMS/UGSC SOLICITANDO ESTADO SITUACIONAL AL MES DE JULIO, E INDICA QUE  SE ENCUENTRA EN USO E INVESTIGACION FISCAL. HAN CONTRATADO A UN PROFESIONAL PARA ELABORACION DEL EXPEDIENTE DEL SALDO DE OBRA.
11/10/2025, SE ENVIA CORREO SOLICITANDO INFORME SITUACIONAL DE SETIEMBRE 2025.
20/10/2025, MEDIANTE CORREO LA MD DE TINTAY REMITE OFICIO 50-2025-MDT-GM, EN DONDE INDICA:
EL PI TIENE UN AVANCE ACUMULADO DE 98,47%, FALTANDO 1,53% SEGUN SSI-MEF.
SE ENCUENTRA PARALIZADO DESDE ENERO DE 2024
ACTUALMENTE SE ENCUENTRA PARCIALMENTE EN USO
SE ENCUENTRA EN ETAPA DE INVETIGACION FISCAL
SE HA REALIZADO LA CONTRATACION DE UN PROFESIONAL PARA LA ELABORACIO DEL DEL EXPEDIENTE DEL SALDO Y CORTE DE OBRA.
</t>
  </si>
  <si>
    <t>OBRA INICIAL CUENTA CON LAUDO ARBITRAL A FAVOR DE LA ENTIDAD.
OBRA CON CONTRATO RESUELTO, LLEGÓ A 94.46% DE EJECUCIÓN DE OBRA. 
SALDO I DE OBRA: 23.45% VS 41.14% VAL NOV 2022. CONTRATO RESUELTO, OBRA ABANDONADA POR CONTRATISTA Y VALORIZACIONES SIN PAGAR.
SALDO II DE OBRA CULMINADA (28.08.2024), SEGUN VAL AGO 2024(AD). 
AVANCE ACUMULADO: 96.35%, 3.65% DE DEDUCTIVO (CORRESPONDE A LA EJECUCIÓN DE ALMACEN, CASETA DE GUARDIANIA, OFICINA DE RESIDENTES Y SUPERVISION, VESTIDORES PARA OBRERIOS, COMEDOR Y BAÑO QUIMICO PARA OBREROS)
MEDIANTE OFICIO N° 035-2025-GER. /MDA (15.10.2025) LA ENTIDAD INFORMA QUE CON FECHA 26 SET 2025 EL ESPECIALISTA ESTRUCTURAL REMITE LA EVALUACION ESTRUCTUAL REALIZADA EN LOS MODULOS AFECTADOS POR EL SISMO DEL 28 JUN 2024.
DE DICHA EVALUACION, SEGUN LO INFORMADO POR LA ENTIDAD, SE CONCLUYE QUE LOS DAÑOS (FISURAS Y GRIETAS) NO SE DEBEN A FALLAS DE DISEÑO, SINO A UN DEFICIENTE PROCESO CONSTRUCTIVO, RECOMENDANDO REPARAR EL RECUBRIMIENTO DAÑADO Y REEMPLAZAR EL SELLADO DE LAS JUNTAS DE SEPARACION SISMICA ENTRE MODULOS 1 Y 2 Y ESCALERAS, EN EL MODULO 3 SE RECOMIENDA REEMPLAZAR PISOS CERAMICOS. 
ADEMÁS, SE REPORTA UN AVANCE DE CARBONATACIÓN QUE REDUCE DE MANERA SIGNIFICATIVA EL PERIODO DE VIDA ÚTIL DE LA ESTRUCTURA, RECOMENDANDO UN TRATAMIENTO CON RECUBRIMIENTOS ESPECIALIZADO.
ASIMISMO, LA ENTIDAD SOLICITA AL PRONIED AUTORIZACION PARA EL USO DE LOS RECURSOS TRANSFERIDOS EN EL PRESENTE AÑO FISCAL.
MEDIANTE INFORME N° 456-2025-MINEDU-VMGI-PRONIED-UZAR (19.06.2025) MONITOR DE OBRA INFORMA QUE EN VISITA DEL 04 JUN 2025 VERIFICO QUE PERSISTEN OBSERVACIONES REPORTADAS EN VISITA DEL 06 FEB 2025.
AL RESPECTO, SE LE HA ENVIADO A LA OCI CORRESPONDIENTE EL OFICIO N° 0001092-2025-MINEDU/VMGI-PRONIED-UGSC (02.07.2025) COMUNICANDO EL INCUMPLIMIENTO POR PARTE DE LA MD Y TRASLADANDO LAS OBSERVACIONES DEL MONITOR.
MEDIANTE INFORME N° 210-2025-MINEDU-VMGI-PRONIED-UZAR (08.04.2025) MONITOR DE OBRA INFORMA QUE EN VISITA DEL 06 FEB 2025 AL SALDO DEL SALDO DE OBRA OBSERVO QUE A PESAR QUE ENTIDAD SOSTIENE QUE OBRA HA CULMINADO AL 100%, SE EVIDENCIA QUE SE ENCUENTRA PENDIENTE LA PARTIDA DE LA GÁRGOLA TÍPICA DE CONCRETO SIMPLE SEGÚN DETALLE EN SSHH.
ASIMISMO, HA VERIFICADO QUE NO SE HA CULMINADO CON EL LEVANTAMIENTO DE OBSERVACIONES RELACIONADAS A LA LIBERACIÓN DE JUNTA SÍSMICA Y APLICACIÓN DE SELLO ELASTÓMERICO EN SARDINELES DEL PATIO PRINCIPAL, LIMPIEZA GENERAL DE OBRA, APLICACIÓN DE SELLO ELASTOMERICO EN JUNTAS SÍSMICAS ENTRE EL PABELLÓN DE 02 NIVELES Y RAMPA DE CIRCULACIÓN PARA MINUSVÁLIDOS.
RESPECTO A LA ALERTA SOBRE LA EVIDENCIA DE FISURAS EN TARRAJEO DE LOS PUNTOS DE CONFINAMIENTO DE LOS ELEMENTOS ESTRUCTURALES DE PABELLON EN USO, INDICA QUE EL ÁREA DE ADMINISTRACION DE LA ENTIDAD NO ATIENDE REQUERIMIENTO DE UN ESPECIALISTA DE ESTRUCTURAS QUE EVALUE LOS POSIBLES DAÑOS.</t>
  </si>
  <si>
    <t>SALDO DE OBRA CULMINADA (OCT 2020) Y RECEPCIONADA (DIC 2020) Y CUENTA CON LA LIQUIDACION DEL SALDO DE OBRA RESOLUCION GERENCIAL 491-2021-MDJH-SGDU (JUN 2021).
CON FECHA 12.12.2024, UEI HA REGISTRADO EN SU FORMATO N° 12-B QUE LA SUPERVISION SE ENCUENTRA EN CONTROVERSIA PERO NO HA BRINDADO INFORMACION AL RESPECTO.
MEDIANTE OFICIO N° 000794-2025-MINEDU/VMGI-PRONIED-UGSC (26.05.2025) SE COMUNICA AL OCI DE LA ENTIDAD EL INCUMPLIMIENTO DE REGISTRO DE INFORMACIÓN Y CIERRE DEL PI EN EL BANCO DE INVERSIONES A PESAR DE HABERSELE NOTIFICADO Y OTORGADO PLAZO PARA DICHO EFECTO, MEDIANTE EL OFICIO N° 000671-2024-MINEDU-VMGI-PRONIED-UGSC (20.12.2024).</t>
  </si>
  <si>
    <t>III ETAPA SUSPENDIDA DESDE 26.09.2025(EN EJECUCIÓN DE OBRA POR AI).
II ETAPA - OBRA CULMINADA (2018) Y RECEPCIONADA (2018)
I ETAPA: SIN INFORMACION
MEDIANTE OFICIO N° 046-2026-GDUI-MDU (09.03.2026) LA ENTIDAD BRINDA RESPUESTA AL OFICIO N° 000231-2025-MINEDU/VMGI-PRONIED-UGSC (24.02.2026) MEDIANTE EL CUAL LA UGSC SOLICITA A LA ENTIDAD INFORMAR EL ESTADO SITUACIONAL DEL PI.
AL RESPECTO, LA ENTIDAD INFORMA DE LAS ACCIONES TOMADAS POSTERIOR A LA SUSPENSION DE LA OBRA (26.09.2025):
- 08 ENE 2026: DIRECTOR DE IE SOLICITA A UGEL AREQUIPA NORTE DOCUMENTOS REQUERIDOS POR LA SEAL
- 28 ENE 2026: CONTRATISTA SOLICITA NUEVO SUMINISTRO CON POTENICA REQUERIDA PARA PROYECTO
ENTIDAD INFORMA QUE SE ENCUENTRA A LA ESPERA DE NOTIFICACION POR PARTE DE SEAL PARA PROGRAMACION DE FECHA PARA ACTIVACION DE NUEVO SUMINISTRO
MEDIANTE OFICIO N° 003-2026-GDUI-MDU (08.01.2026) LA ENTIDAD BRINDA RESPUESTA AL OFICIO N° 002394-2025-MINEDU/VMGI-PRONIED-UGSC (31.12.2025) MEDIANTE EL CUAL LA UGSC SOLICITA A LA ENTIDAD INFORMAR LAS ACCIONES QUE VIENE REALIZANDO PARA LA CONTINUIDAD DE LA OBRA.
AL RESPECTO, LA ENTIDAD INFORMA DE LAS ACCIONES TOMADAS POSTERIOR A LA SUSPENSION DE LA OBRA (26.09.2025):
- 15 DIC 2025: SEAL REMITE CONFORMIDAD DE OBRA DE SISTEMA DE UTILIZACION
- 22 DIC 2025: CONTRATISTA SOLICITA NUEVO SUMINISTRO CON POTENICA REQUERIDA PARA PROYECTO
- 23 DIC 2025: SEAL INDICA QUE SE REQUIERE DIVERSOS DOCUMENTOS PARA ATENCION DE LO REQUERIDO POR CONTRATISTA
- 29 DIC 2025: CONTRATISTA SOLICITA A DIRECTORA DE IE DOCUMENTOS REQUERIDOS POR LA SEAL
- 06 ENE 2026: CONTRATISTA SOLICITA A UGEL AREQUIPA NORTE DOCUMENTOS REQUERIDOS POR LA SEAL
MEDIANTE OFICIO N° 201-2025-KRY-GDUI-MDU (12.12.2025) LA ENTIDAD BRINDA RESPUESTA AL OFICIO N° 002330-2025-MINEDU/VMGI-PRONIED-UGSC (02.12.2025) MEDIANTE EL CUAL LA UGSC SOLICITA A LA ENTIDAD INFORMAR LAS ACCIONES QUE VIENE REALIZANDO PARA LA CONTINUIDAD DE LA OBRA.
AL RESPECTO, LA ENTIDAD INFORMA DE LAS ACCIONES TOMADAS POSTERIOR A LA SUSPENSION DE LA OBRA (26.09.2025):
- 19 NOV 2025: SEAL INDICA QUE FIJACION Y PRUEBAS ELECTRICAS SE REALIZARAN EL 25.11.2025
- 25 NOV 2025: SE FIRMA ACTA DE INSPECCION Y PRUEBAS ELECTRICAS DE SISTEMA DE UTILIZACION
- 04 DIC 2025: CONTRATISTA SOLICITA LA RECEPCION DE OBRA DE SISTEMA DE UTILIZACION
MEDIANTE OFICIO N° 181-2025-KRY-GDUI-MDU (17.11.2025) LA ENTIDAD BRINDA RESPUESTA AL OFICIO N° 002139-2025-MINEDU/VMGI-PRONIED-UGSC (11.11.2025) MEDIANTE EL CUAL LA UGSC SOLICITA A LA ENTIDAD INFORMAR LAS ACCIONES QUE VIENE REALIZANDO PARA LA CONTINUIDAD DE LA OBRA.
AL RESPECTO, LA ENTIDAD INFORMA DE LAS ACCIONES TOMADAS POSTERIOR A LA SUSPENSION DE LA OBRA (26.09.2025):
- 28 OCT 2025: SEAL REALIZA OBSERVACIONES A SOLICITUD DE INSPECCION Y PRUEBAS ELECTRICAS
- 05 NOV 2025: CONTRATISTA REALIZA EL LEVANTAMIENTO DE OBSERVACIONES Y SOLICITA A SEAL INSPECCION Y EJECUCION DE PRUEBAS ELECTRICAS. 
MEDIANTE OFICIO N° 170-2025-KRY-GDUI-MDU (20.10.2025) LA ENTIDAD BRINDA RESPUESTA AL OFICIO N° 001847-2025-MINEDU/VMGI-PRONIED-UGSC (10.10.2025) MEDIANTE EL CUAL LA UGSC SOLICITA A LA ENTIDAD INFORMAR LAS ACCIONES QUE VIENE REALIZANDO PARA LA CONTINUIDAD DE LA OBRA.
AL RESPECTO, LA ENTIDAD INFORMA DE LAS ACCIONES TOMADAS POSTERIOR A LA SUSPENSION DE LA OBRA (26.09.2025):
- 27 SET 2025: CONTRATISTA SOLICITA A SEAL NUMERACION DE POSTES Y SUBESTACION 
- 07 OCT 2025: SEAL ENVIA NUMERACION SOLICITADA
- 14 OCT 2025: CONTRATISTA SOLICITA A SEAL INSPECCION Y EJECUCION DE PRUEBAS ELECTRICAS. 
POR OTRO LADO, MEDIANTE OFICIO N° 171-2025-KRY-GDUI-MDU (21.10.2025) LA ENTIDAD INFORMA QUE AVANCE FISICO ACUMULADO DE ADICIONAL N° 04 ES DE 97.39% VS 100% PROGRAMADO.
EL SUB GERENTE DE OBRAS PÚBLICAS Y PROYECTOS ALCANZO EL ACTA DE SUSPENSION DE OBRA N° 05 MEDIANTE LA CUAL SE ESTABLECE LA SUSPENSION DE OBRA A PARTIR DEL 26 SET 2025 POR ESTAR PENDIENTE UNA FECHA DE CORTE PROGRAMADO POR PARTE DEL SEAL PARA REALIZAR LA CONEXION  DEL SERVICIO DE ENERGIA ELECTRICA, LA REALIZACION DE PRUEBAS RESPECTIVAS Y POSTERIOR PUESTA EN SERVICIO.
MEDIANTE OFICIO N° 001543-2025-UGSC (02.09.2025) LA UGSC SOLICITA A UEI EL INFORME SITUACIONAL RESPECTO A LA IMPLEMENTACION DEL PLAN DE CONTINGENCIA.
AL RESPECTO, MEDIANTE OFICIO N°144-2025-KRY-GDUI-MDU (11.09.2025) LA GERENCIA DE DESARROLLO URBANO E INFRAESTRUCTURA INFORMA QUE SE USO COMO CONTINGENCIA LOCAL SOCIAL DEL PUEBLO JOVEN CERRO VERDE SIN IMPLICAR COSTOS O RESPONSABILIDAD PARA EL PI Y ENTIDAD, GESTION REALIZADA POR LA INSTITUCION EDUCATIVA.
CABE MENCIONAR QUE ENTIDAD INFORMA QUE OBRA HA SIDO PARCIALMENTE ENTREGADA Y NUEVOS PABELLONES VIENEN SIENDO UTILIZADOS POR LA IE.
SE VERIFICA EN INFOBRAS QUE OBRA DE LA III ETAPA CUENTA CON UN AVANCE FÍSICO REAL DE 96.03% VS 100% PROGRAMADO SEGUN LA VALORIZACION DE JUN 2025.</t>
  </si>
  <si>
    <t>LIQUIDACIÓN DE OBRA
LA OBRA SE ENCUENTRA CULMINADA, RECEPCIONADA (15/07/2019) Y SE CUENTA CON LA RESOLUCIÓN DE ALCALDÍA N° 239-2019-MDP/A CON FECHA 30/10/2019. SE TIENE PENDIENTE INFORMAR SOBRE LA RESOLUCIÓN DE SUPERVISIÓN Y LA TRANSFERENCIA A LA UGEL. ADEMAS SE INFORMA QUE EL CONTRATISTA A PRESENTADO PAGO POR REAJUSTE POR LO QUE SE TIENE PENDIENTE REALIZAR EL CIERRE.
SE NOTIFICÓ MEDIANTE  CORREO ELECTRÓNICO AL ÓRGANO DE CONTROL INSTITUCIONAL DE LA MUNICIPALIDAD PROVINCIAL DE CHOTA CON FECHA 21/10/2025, EL OFICIO N°1973-2025-MINEDU/VMGI-PRONIED-UGSC DONDE SE COMUNICA INCUMPLIMIENTO DE REGISTRO DE INFORMACIÓN Y CIERRE DEL PROYECTO DE INVERSIÓN CON CUI N° 2320276, A CARGO DE LA MUNICIPALIDAD DISTRITAL DE POMAHUACA.</t>
  </si>
  <si>
    <t>_CULMINACIÓN DE OBRA __PENDIENTE LIQUIDACIÓN DE OBRA Y CIERRE DE F N°09__
LA OBRA CULMINO EL 10 DE JUNIO DEL 2018 Y TUVO SU RECPECION EL DIA 16 DE JULIO DEL 2018
28/10/2025 DESDE LA UGSC, SE HA REMITIDO  A LA UEI EL 14/10/2025 EL OFICIO N° 01868-2025-MINEDU/VMGI-PRONIED-UGSC (I-010627-2025
V-1), SOLICITUD DE REMISIÓN DEL ESTADO SITUACIONAL DEL PI. PENDIENTE QUE LA UEI REMITA INFORME
SE ENCUENTRA PENDIENTE LA RECEPCICÓN, LIQUIDACIÓN Y CIERRE DE PROYECTO
OBRA CULMINADA (JUN 2018)</t>
  </si>
  <si>
    <t xml:space="preserve">_LIQUIDACIÓN DE OBRA _ PENDIENTE DE CIERRE FN°09_
NO CUENTA CON REGISTRO DE SEGUIMIENTO F12-B
LA OBRA CULMINO 29 DE MAYO DEL 2018 Y LA LIQUIDACION TIENE FECHA DE 15 DE OCTUBRE DEL 2018 
EL PENDIENTE QUE LA UEI EN EL MARCO DEL CIERRE REMITA E INFORME SOBRE LA LIQUIDACIÓN DE OBRA, LIQUIDACIÓN DE SUPERVISIÓN DE OBRA Y ACTA DE TRANSFERENCIA A LA UGEL CORRESPONDIENTE SOLICITADO POR LA UGSC CON EL OFICIO N° 132-2025-MINEDU/VMGI-PRONIED-UGSC A LA UEI  EL 20/02/2025
CON FECHA 26/03/2025 SE PROCEDIÓ A LLAMAR A ABDON CASIMIRO CASAHUAMAN CASAHUAMAN, ALCALDE DE LA UEI Y AL ING JOSÉ GERENTE INFRAESTRUCTURA, SIN EMBARGO NO CONTESTAN A LAS LLAMADA,. SE PROCEDIÓ A ENVIAR MENSAJE WHATSAPP A FIN DE SOLICITAR REMITAN EL INFORME DE ESTADO SITUACIONAL DE AVANCE DE PI.
CON FECHA  12/03/2025 EN COMUNICACIÓN TELEFONICA CON EL ING JOSÉ , GERENTE INFRAESTRUCTURA DE LA UEI, SE LE SOLICITÓ REMTA EL ESTADO SITUCIONAL ACTUALIZADO DEL PI,  HABIENDOSE COMPROMETIDO A REMITIR LA INFORMACIÓN ,  HASTA LA FECHA NO HA REMITIDO LO SOSLICITADO. 
</t>
  </si>
  <si>
    <t>LIQUIDACIÓN DE OBRA
 OBRA CULMINADA 31/08/2020 - ACTA DE RECEPCIÓN 17/10/2020 - CON LIQUIDACIÓN DE OBRA: RESOLUCIÓN DE GERENCIA MUNICIPAL Nº 69-2020-MDP-ELAB/GM (28/12/2020), CON LIQUIDACIÓN DE SUPERVISIÓN: RESOLUCIÓN DE GERENCIA MUNICIPAL Nº 70-2020-MDP-ELAB/GM (28/12/2020)
PENDIENTE UEI REMITA E INFORME SOBRE ACTA DE TRANSFERENCIA DE IE PARA EL CIERRE DEL PI.  
UEI INDICA QUE LA GESTIÓN PASADA NO REALIZÓ EL PAGO PENDIENTE A CONTRATISTA Y LA ACTUAL GESTIÓN TAMPOCO, PORQUE CONTRATISTA NO HA SOLICITADO EL PAGO
DESDE LA UGSC SE HA REMITIDO, EL 03/09/2025, EL OFICIO N° 1519-2025-MINEDU-VMGI-PRONIED-UGSC A LA OCI DE LA MP DOS DE MAYO, COMUNICANDO EL INCUMPLIMIENTO DE REGISTRO DE INFORMACIÓN Y CIERRE DEL PROYECTO DE INVERSIÓN CON CUI Nº 2285203, A CARGO DE LA MD DE PINRA</t>
  </si>
  <si>
    <t>SALDO DE OBRA CULMINADA (04.042024), RECEPCIONADA (19.04.2024) Y CUENTA CON LIQUIDACION DE OBRA APROBADA MEDIANTE R.G. N° 102-2024-GIDUR/MDP (02.10.2024).
EL SUBGERENTE DE OBRAS PUBLICAS DE LA MD ALCANZÓ LA RESOLUCION QUE APRUEBA LA LIQUIDACION DE LA OBRA, DE LA QUE SE DETALLA LO SIGUIENTE:
SALDO A FAVOR DE CONTRATISTA: S/ 16,108.00
UEI NO HA INFORMADO EL ESTADO DE LA LIQUIDACION DE LA SUPERVISION DE OBRA.
MEDIANTE OFICIO N° 000683-2024-MINEDU-VMGI-PRONIED-UGSC (23.12.2024) SE COMUNICA A LA ENTIDAD EL INCUMPLIMIENTO DE REGISTRO DE INFORMACIÓN Y CIERRE DEL PI EN EL BANCO DE INVERSIONES
MEDIANTE OFICIO N° 000846-2025-MINEDU/VMGI-PRONIED-UGSC (06.06.2025) SE COMUNICA AL OCI DE LA ENTIDAD EL INCUMPLIMIENTO DE REGISTRO DE INFORMACIÓN Y CIERRE DEL PI EN EL BANCO DE INVERSIONES A PESAR DE HABERSELE NOTIFICADO Y OTORGADO PLAZO PARA DICHO EFECTO, MEDIANTE EL OFICIO N° 000683-2024-MINEDU-VMGI-PRONIED-UGSC (23.12.2024).</t>
  </si>
  <si>
    <t>OBRA CULMINADA (2020) Y RECEPCIONADA (29 MAR 2022). 
MEDIANTE OFICIO N° 002064-2025-MINEDU-VMGI-PRONIED-UGSC (31.10.2025) SE COMUNICA A LA ENTIDAD EL INCUMPLIMIENTO DE REGISTRO DE INFORMACIÓN Y CIERRE DEL PI EN EL BANCO DE INVERSIONES; ASIMISMO SE LE SOLICITA REMITIR UN INFORME DETALLADO QUE CONTENGA LA ACTUALIZACION DEL FORMATO N° 12B, DOCUMENTO QUE ACREDITE LIQUIDACION TECNICA FINANCIERA DEL PROYECTO Y DOCUMENTO QUE ACREDITE CIERRE DE PI A TRAVÉS DE FORMATO N° 09.
MEDIANTE OFICIO N° 000597-2025-MINEDU-VMGI-PRONIED-UGSC (28.04.2025) SE SOLICITA EL INFORME SITUACIONAL MENSUAL SOBRE LA EJECUCIÓN DEL PROYECTO Y EL USO DE LOS RECURSOS TRANSFERIDOS
MEDIANTE OFICIO N° 000761-2025-MINEDU-VMGI-PRONIED-UGSC (26.05.2025) SE COMUNICA REITERATIVO DE SOLICITUD DE INFORMACION</t>
  </si>
  <si>
    <t xml:space="preserve">LIQUIDACIÓN DE OBRA
INICIO DE OBRA: 22/08/2017 - OBRA CULMINADA: 16/02/2019 - RECEPCIÓN: 28/05/2019
CONTRATISTA, INTERPUSO DEMANDA CONTRA MUNICIPALIDAD SOLICITANDO CANCELE MONTO RECONOCIDO EN RESOLUCIÓN DE ALCALDIA Nº 0523-2019/MDM-A (07/10/2019) QUE APROBÓ LIQUIDACIÓN DE OBRA 
MEDIANTE RESOLUCIÓN DE ALCALDIA Nº 0748-2023/MDM-A (26/10/2023) SE APROBÓ Y AUTORIZÓ EL CRONOGRAMA PRIORIZADO DE PAGO, DEL AÑO 2024 AL AÑO 2028 
LA MUNICIPALIDAD HA APROBADO EL CRONOGRAMA PRIORIZADO DE PAGO AL CONTRATISTA, SEGÚN SENTENCIA JUDICIAL PARA EL PERIODO 2024 AL 2028, REALIZANDO PAGOS MENSUALES (TOTAL S/ 1,004,923.54). ASIMISMO, EN INSPECCIÓN DE UNIDAD ZONAL, DETECTAN QUE LAS INSTALACIONES ELÉCTRICAS NO SE PUEDEN ESTABLECER DE MANERA SIMULTÁNEA DEBIDO A QUE EL AMPERAJE ACTUAL NO CUBRE LA DEMANDA EXISTENTE, SEÑALANDO QUE LA MUNICIPALIDAD DEBE EFECTUAR LOS TRÁMITES PARA EL CORRECTO SUMINISTRO ELÉCTRICO PARA EL FUNCIONAMIENTO Y OPERATIVIDAD DE LAS INSTALACIONES Y EQUIPAMIENTO, LO CUAL HA SIDO NOTIFICADO A LA MUNICIPALIDAD. QUIENES HAN INDICADO QUE LOS ACTUADOS SERÁN COORDINADOS CON LA CONTRALORIA PARA ESTABLECER RESPONSABILIDADES </t>
  </si>
  <si>
    <t>RECEPCION DE OBRA</t>
  </si>
  <si>
    <t xml:space="preserve">RECEPCIÓN DE OBRA - SALDO DE OBRA (MOBILIARIO Y EQUIPAMIENTO)
PRIMERA ETAPA: INICIÓ OBRA EL 03/10/2018, CON PLAZO DE EJECUCIÓN 120DC, CULMINADA CON LIQUIDACIÓN DE OBRA (RESOLUCIÓN GERENCIAL 394-2023-MPS/GM - 16/10/2023)
SEGUNDA ETAPA: INICIO DE OBRA 28/02/2020, CON PLAZO DE EJECUCIÓN 150DC,  CON CONTRATO RESUELTO POR INCUMPLIMIENTO DE CONTRATISTA (RESOLUCIÓN DE ALCALDIA Nº 112-2022-MPS/A y RESOLUCION DE ALCALDIA 249-2022-MPS/A - CON AVANCE TOTAL AL 94.57% ). SE ENCUENTRA EN PROCESO ARBITRAL
 OBSERVACIONES: *MAL FUNCIONAMIENTO IIEE, PUERTA MAL INSTALADA
SALDO DE LA SEGUNDA ETAPA DEL PROYECTO, CORRESPONDE A COMPONENTE DE MOBILIARIO Y EQUIPAMIENTO EN UN PLAZO DE EJECUCIÓN DE 30 DC, BAJO MODALIDAD DE ADM DIRECTA, CON FECHA DE INICIO 03/06/2024 Y DE CULMINACIÓN 24/06/2024 (PENDIENTE UEI REMITA ACTA DE RECEPCIÓN Y QUE LIQUIDEN SALDO). </t>
  </si>
  <si>
    <t>LEY 30847</t>
  </si>
  <si>
    <t>LIQUIDACIÓN DE OBRA
OBRA CULMINADA (ENERO 2021) Y RECEPCIONADA (FEBRERO 2022), LIQUIDACION DE OBRA: R.A. N 657-2022/MPS Y LIQUIDACIÓN DE SUPERVISIÓN: R.A. N° 1079-2022/MPS.
UEI REMITE OFICIO Nº 01068-2025-MPS/OGGDAC (24/10/2025) REMITIDO A UGSC EL 12/11/2025, INDICANDO QUE HAN EJECUTADO LOS COMPONENTES DE INFRAESTRUCTURA, MOBILIARIO Y EQUIPAMIENTO AL 100%, QUE HAN DADO CONFORMIDAD A ADQUISICIÓN DE MOBILIARIO A TRAVÉS DEL INFORME N° 1017-2025/MPS-GDUeI-SI. ADEMÁS SEÑALAN ESTAR ELABORANDO INFORME DE CULMINACIÓN Y CIERRE PARA EL REGISTRO DE FORMATO N° 09, REGISTRO DE INVERSIÓN</t>
  </si>
  <si>
    <t>LIQUIDACION DE OBRA_
CONVENIOS 313-2017-MINEDU Y 051-2019-MINEDU
OBRA CULMINADA EL 10/10/2018
OBRA RECEPCIONADA 28/08/19
CUENTA CON LIQUIDACION EJECUCIÓN DE OBRA: R.A N°120-2023-MDV/A CON FECHA 23 DE JULIO DEL 2020
LIQUIDACION DE SUPERVISION: SEGUN INFORME DE ESTADO INDICA QUE EN ACERVO DOCUMENTARIO NO SE ENCUENTRA. SIN EMBARGO, EXISTE UN INFORME DE LIQUIDACION FINAL, EN EL CUAL INDICA QUE CONTRATO DE SUPERVISION RESOLVIO. 
SEGUN SSI , LA OBRA  CUENTA CON LIQUIDACION OBSERVADA POR CONTRALORIA
EN CONVERSACION CON EL ALCALDE, NO TIENEN CONOCIMIENTO SOBRE EL ESTADO DE DICHO PROYECTO, AL PENDIENTE DE REVISION POR PARTE DE LA UEI
CON EXP. I-003982-2025, SE ENVIO NFORME N° 001062-2025-MINEDU-VMGI-PRONIED-UGSC-COMS Y OFICIO N° 001315-2025-MINEDU-VMGI-PRONIED-UGSC NOTIFICADO A OCI EL 05/08/2025.
EL 31/07/2025 SE NOTIFICÓ  A OCI SOBRE EL INCUMPLIMIENTO DEL CIERRE CON OFICIO N° 001315-2025-MINEDU-VMGI-PRONIED-UGSCS (EXP. I-009855-2025)</t>
  </si>
  <si>
    <t>PI CONSTA DE OBRA PRINCIPAL Y 3 OBRAS COMPLEMENTARIAS, SIENDO QUE:
- OBRA PRINCIPAL: OBRA CULMINADA (2019), RECEPCIONADA (2019) Y CUENTA CON LIQUIDACION DE OBRA APROBADA MEDIANTE R.A. N° 329-2019-A/MDC Y LIQUIDACION DE SUPERVISION DE OBRA APROBADA MEDIANTE R.A. N° 297-2020-A/MDC.
- OBRA COMPLEMENTARIA I: OBRA CULMINADA (2020), RECEPCIONADA (2020) Y CUENTA CON LIQUIDACION DE OBRA APROBADA MEDIANTE R.A. N° 296-2020-A/MDC Y LIQUIDACION DE SUPERVISION DE OBRA APROBADA MEDIANTE R.A. N° 297-2020-A/MDC.
- OBRA COMPLEMENTARIA II: OBRA CULMINADA (2023), RECEPCIONADA (2023) Y CUENTA CON LIQUIDACION TECNICA FINANCIERA APROBADA MEDIANTE R.A. N° 244-2023-A/MDC.
- OBRA COMPLEMENTARIA III: OBRA CULMINADA (2024), RECEPCIONADA (2024) Y CUENTA CON LIQUIDACION TECNICA FINANCIERA APROBADA MEDIANTE R.A. N° 139-2024-A/MDC.
ENTIDAD INFORMA QUE SE INICIARAN LAS ACCIONES DEL CIERRE DEL PROYECTO EN EL BANCO DE INVERSIONES SIENDO QUE SE PROYECTAN REALIZARLO EN EL MES DE FEB 2025.
MEDIANTE OFICIO N° 001164-2025-MINEDU/VMGI-PRONIED-UGSC (14.07.2025) SE COMUNICA AL OCI DE LA ENTIDAD EL INCUMPLIMIENTO DE REGISTRO DE INFORMACIÓN Y CIERRE DEL PI EN EL BANCO DE INVERSIONES A PESAR DE HABERSELE NOTIFICADO Y OTORGADO PLAZO PARA DICHO EFECTO, MEDIANTE EL OFICIO N° 000007-2025-MINEDU/VMGI-PRONIED-UGSC (08.01.2025).</t>
  </si>
  <si>
    <t>PENDIENTE DE CIERRE DEL PROYECTO EN EL BANCO DE INVERSIONES
SEGÚN SE INDICA, EL PROYECTO SE ENCUENTRA CON LIQUIDACION TÉCNICA Y FINANCIERA. 
PENDIENTE DE TRANSFERENCIA AL SECTOR.
Culminación: 14/12/2018
Liquidación: 08/08/2019
Recepción:  11/02/2019
RESOLUCIÓN DE ALCALDÍA N° 409-2019-MPB-A 8 de agosto 2019 O</t>
  </si>
  <si>
    <t xml:space="preserve">LIQUIDACION DE OBRA_
CONVENIO 219-2018-MINEDU
OBRA CULMINADA (18.04.2018), 
RECEPCIONADA (31.03.2022) Y
 CUENTA CON LIQUIDACION DE OBRA APROBADA (2018-2024).
DE LA BUSQUEDA EN APLICATIVOS DEL MEF, CONTRALORIA Y SHAREPOINT  SE HA PODIDO VERIFICAR LO SIGUIENTE:
OBRA PRINCIPAL: INICIO 22.08.2017, CULMINACION: 18.04.2018. OBRA LLEGÓ AL 95.06%. NO SE HA ENCONTRADO ACTA DE RECEPCION. LIQUIDACION DE OBRA APROBADA MEDIANTE R.G. N° 153-2018-GM-MPA (EJECUCIÓN POR AI)
ADICIONAL N° 02: INICIO: 02.12.2019, CULMINACION: 19.12.2020. RECEPCIONADA 31.03.2022. LIQUIDACION DE OBRA APROBADA MEDIANTE R.G. N° 046-2024-GDUR-CRAM (EJECUCIÓN POR AD)
ADICIONAL N° 03: INICIO: 21.10.2024, CULMINACION PROGRAMADA: 19.12.2024.
MEDIANTE OFICIO N° 516-2024-MPA-GDUR-CRAM (23.12.2024) ENTIDAD INFORMA QUE ADICIONAL N° 03 CUENTA CON AVANCE FÍSICO REAL DE 83.04% VS 86.65% PROGRAMADO AL MES DE NOV 2024. 
ADICIONAL N03 EN EJECUCION POR 60DC INICIO 21/10/24
MEDIANTE RESOLUCION DE ALCALDIA N° 298-2024-MPA-DS DE FECHA 15/10/24 SE APRUEBA EL ADICIONAL N° 03 Y AMPLIACION DE PLAZO N03 POR 60DC, DANDO REINICIO A LA OBRA CON FECHA 21/10/24, CONTEMPLA ACCIONES DE MANTENIMIENTO Y MEJORAMIENTO DE INSTALACIONES:
-MEJORAMIENTO LAS INSTALACIONE DEL POZO SEPTICO
-IMPLEMENTACION DE 09 PIZARRAS INTERACTIVAS
-CONSTRUCCION DE TECHO PARA PATIO DE FORMACION
-REFACCION Y REFORZAMIENTO DE MUROS Y RAMPAS DE ACCESO POR RAJADURAS
-MEJORAR SISTEMA DE SEGURIDAD E INSTALACION DE REJAS EN EL CERCO PERIMETRICO
-ADQUISISION DE MOBILIARIO ESCOLAR: 70 SILLAS Y 09 PUPITRES
-ADQUISCION DE 09 LAPTOPS PARA DOCENTES
**MEDIANTE CORREO ELECTRONICO (06.12.2024) SE LE SOLICITO INFORME SITUACIONAL ACTUALIZADO.
</t>
  </si>
  <si>
    <t>OBRA CULMINADA (26.09.2018) Y RECEPCIONADA (28.12.2018), CUENTA CON LIQUIDACION DE OBRA RESOLUCION JEFATURAL  212-2019-MDJLBYRA/GM/OAF (30.12.2019)
SE VERIFICA QUE EN DIC 2024 LA MD CUMPLIÓ CON REALIZAR LOS PAGOS PENDIENTES (SALDO A FAVOR DE CONTRATISTA Y PAGO PENDIENTE A SUPERVISOR) CON LOS RECURSOS OTORGADOS A TRAVES DEL DS 240-2024-EF. 
SE VERIFICA ADEMAS QUE ENTIDAD HA REGISTRADO EN EL FORMATO N° 12-B QUE SE ENCUENTRA EN PROCESO DE LIQUIDACION TECNICA FINANCIERA DEL PI.
UEI NO HA INFORMADO EL ESTADO DE LA LIQUIDACION DE LA SUPERVISION DE OBRA.
MEDIANTE OFICIO N° 000674-2024-MINEDU-VMGI-PRONIED-UGSC (20.12.2024) SE COMUNICA A LA ENTIDAD EL INCUMPLIMIENTO DE REGISTRO DE INFORMACIÓN Y CIERRE DEL PI EN EL BANCO DE INVERSIONES
AL NO CONTAR CON RESPUESTA POR PARTE LA MD, SE LE HA ENVIADO A LA OCI DE LA MD EL OFICIO N° 000744-2025-MINEDU/VMGI-PRONIED-UGSC (16.05.2025) COMUNICANDO EL INCUMPLIMIENTO POR PARTE DE LA MD.</t>
  </si>
  <si>
    <t>INICIO DE EJECUCIÓN DE OBRA 18 OCT 2018
PLAZO DE EJECUCIÓN: 240 DC
AMPLIACIONES DE PLAZO: 1178 DC
FIN DE PLAZO DE EJECUCIÓN: 15 NOV 2022
OBRA PARALIZADA (DESDE SET 2022) POR FALTA DE RECURSOS. CABE MENCIONAR QUE MEDIANTE  LEY DE PRESUPUESTO 2025 SE HA TRANSFERIDO S/ 342,047.00 A FAVOR DEL PI.
MEDIANTE OFICIO N° 257-2025-A/MDCH (24.09.2025) EL GERENTE DE DESARROLLO URBANO INFORMA QUE SE ENCUENTRAN EN COORDINACION CON EL DIRECTOR DE LA IE PARA EVALUAR EL ESTADO SITUACIONAL DEL PI Y DEFINIR LOS LINEAMIENTOS PARA LA PROGRAMACION DEL REINICIO DE OBRA, ASÍ COMO LA VALIDACION DE AVANCES EJECUTADOS.
MEDIANTE INFORME N° 456-2024-MINEDU-VMGI-PRONIED-UZAR (19.06.2025) EL MONITOR DE OBRA INFORMA QUE EN REUNION CON LA ENTIDAD (06.06.2025) SE LE INFORMO QUE SE ESTÁ EVALUANDO LA POSIBILIDAD DE CERRAR EL PROYECTO YA QUE, SEGUN ENTIDAD, METAS PENDIENTES HAN SIDO ATENDIDAS POR EL GR AREQUIPA CON RECURSOS DE MANTENIMIENTO.
CABE MENCIONAR QUE MEDIANTE OFICIO N° 000921-2025-MINEDU/VMGI-PRONIED-UGSC (13.06.2025) SE TRASLADO A LA OCI DE LA MP CARAVELI EL INCUMPLIMIENTO DEL CONVENIO Y LA INACCION DE LA MD EN RELACION A LA REACTIVACION DE LA OBRA.</t>
  </si>
  <si>
    <t xml:space="preserve">OBRA CULMINADA (02.05.2019), RECEPCIONADA (25.06.2019) Y CUENTA CON LIQUIDACION DE CONTRATO DE EJECUCION DE OBRA APROBADA MEDIANTE R.G. N° 186-2022-GDUI-MPC-CHIVAY CON UN SALDO A FAVOR DE LA MUNICIPALIDAD DE S/ 29,045.30 (05.12.2022).
MEDIANTE OFICIO N° 000900-2025-MINEDU/VMGI-PRONIED-UGSC (10.06.2025) SE COMUNICA AL OCI DE LA ENTIDAD EL INCUMPLIMIENTO DE REGISTRO DE INFORMACIÓN Y CIERRE DEL PI EN EL BANCO DE INVERSIONES A PESAR DE HABERSELE NOTIFICADO Y OTORGADO PLAZO PARA DICHO EFECTO, MEDIANTE EL OFICIO N° 000668-2024-MINEDU-VMGI-PRONIED-UGSC (20.12.2024).
MEDIANTE INFORME N° 113-2023-GDUI-MPC-CHIVAY (29.01.2024) LA GERENCIA DE DESARROLLO URBANO E INFRAESTRUCTURA INFORMA QUE CUENTA CON ACTA DE TRANSFERENCIA A LA UGEL (SET 2019) PERO QUE PI NO FUE CERRADO EN EL BI POR CONTROVERSIAS SURGIDAS CON EL CONTRATISTA DEBIDO A AMPLIACIONES DE PLAZO, PENALIDADES, ETC.
UEI NO HA INFORMADO EL ESTADO DE LA LIQUIDACION DE LA SUPERVISION DE OBRA.
</t>
  </si>
  <si>
    <t>LIQUIDACIÓN DE OBRA
LA OBRA SE ENCUENTRA RECEPCIONADA (AGOSTO 2018) Y LIQUIDADA (2018), TIENE UN AVANCE FÍSICO ACUMULAOD AL 100% .  LA UEI COMUNCA QUE MEDIANTE INFORME N° 642-2024-MPLP-GDTI-SGI-UOSL/JLVC EN SETIEMBRE SE SOLICITA DEJAR SIN EFECTO LA RESOLUCIÓN DE ALCALDIA N° 435-2018-MPLP/A Y EMITIR UNA NUEVA RESOLUCIÓN CORRIGIENDO EL ERROR ARITMÉTICO Y CON OTRO INFORME N° 892-2024-MPLP-GDTI-SGI-UOSL/JLVC CON FECHA 22/11/2024 SE HACE EL REITERATIVO DE DEJAR SIN EFECTO RESOLUCIÓN PASADA. 
SE NOTIFICÓ MEDIANTE  CORREO ELECTRÓNICO A LA UEI CON FECHA 02/07/2025, EL OFICIO N°  1081-2025-MINEDU-VMGI-PRONIED-UGSC DONDE SE COMUNICA A LA OCI DE LA MUNCIPALIDAD PROVINCIAL DE LUCANAS, EL INCUMPLIMIENTO DE REGISTRO DE INFORMACIÓN Y CIERRE DEL PROYECTO DE INVERSIÓN CON CUI N° 2240144.</t>
  </si>
  <si>
    <t>LIQUIDACIÓN DE OBRA
ITEM 01 IEI 314:
INICIO DE PLAZO 16 DE ENERO 2023
OBRA CULMINADA (12/11/2023), RECEPCIONADA (23/01/2024) E INAUGURADA (28/02/2024) . CUENTA CON LA RESOLUCIÓN DE ALCÁLDIA N° 122-2024-MDCH/A (02/05/2024) DE LA  SUPERVISIÓN DE LA OBRA Y LA RESOLUCIÓN DE ALCÁLDIA N° 150-2024-MDCH/A (15/05/2024) DE LA EJECUCIÓN DE LA OBRA, SE TIENE EL ACTA DE TRANSFERENCIA A LA UGEL (28/02/2024)
ITEM 02 IEI 365:
INICIO DE PLAZO: 02 DE JUNIO 2023
LA OBRA SE ENCUENTRA CULMINADA CON FECHA 20/10/2024, COMO SE INDICA EN EL ASIENTO DE OBRA N° 438 DEL INSPECTOR Y EL ASIENTO DE OBRA N° 439 PERTENECIENTE AL RESIDENTE. LA UEI REMITE EL ACTA DE ENTREGA Y RECEPCIÓN DE OBRA RESPECTO A LA INSITUCIÓN EDUCATIVA N° 365 "CANCHACANCHA"FIRMADO CON FECHA 17 DE DICIEMBRE DEL 2024, SE REALIZO LA INAUGURACIÓN EL 26/12/2024 Y TIENE ACTA DE TRANSFERENCIA PROVISIONAL Y/O PARCIAL CON FECHA 26/12/2024. UENTA LA RESOLUCIÓN DE ALCALDIA N° 348-2024-MDCH/A DE LA LIQUIDACIÓN DE SUPERVISIÓN Y LA RESOLUCIÓN DE ALCALDIA N° 192-2025-MDCH/A (10/06/2025) DE LA LIQUIDACIÓN FÍSICA FINANCIERA.
ITEM 03 IEI 366
INICIO DE PLAZO: 01 DE FEBERO 2023
OBRA CULMINADA (02/10/2023), RECEPCIONADA (30/11/2023) E INAUGURADA (29/02/2024) . CUENTA CON LA RESOLUCIÓN DE ALCALDÍA N° 098-2024-MDCH/A (08/04/2024) DE LA  SUPERVISIÓN DE LA OBRA Y LA  RESOLUCIÓN DE ALCALDÍA N° 384-2023-MDCH/A (28/12/2023) DE LA EJECUCIÓN DE LA OBRA , SE TIENE EL ACTA DE TRANSFERENCIA A LA UGEL (29/02/2024).</t>
  </si>
  <si>
    <t xml:space="preserve">LIQUIDACIÓN DE OBRA
LA OBRA SE ENCUENTRA RECEPCIONADA (26/07/2018) Y LIQUIDADA (2018),TIENE UN AVANCE FÍSICO ACUMULADO AL 100%. SE CUENTA CON LA RESOLUCIÓN DE ALCALDÍA N° 061-2018-MDP/A (21/08/2018) DE LA LIQUIDACIÓN DE LA EJECUCIÓN DE OBRA. LA MUNICIPALIDAD NO HA INFORMADO RESPECTO A LA LIQUIDACIÓN DE SUPERVISIÓN DE LA OBRA Y LA ACTA DE TRANSFERENCIA PARA REALIZAR EL CIERRE.
SE NOTIFICÓ MEDIANTE  CORREO ELECTRÓNICO AL ORGANO DE CONTROL INSTITUCIONAL DE CHOTA CON FECHA 01/08/2025, EL OFICIO N°  1274-2025-MINEDU/VMGI-PRONIED-UGSC DONDE SE COMUNICA INCUMPLIMIENTO DE REGISTRO DE INFORMACIÓN Y CIERRE DEL PROYECTO DE INVERSIÓN CON CUI 2224952.
</t>
  </si>
  <si>
    <t>_LIQUIDACIÓN DE OBRA PENDIENTE DE CIERRE FN°09_
LIQUIDACIÓN DE OBRA: R.G.R. N° 286-2018-MDI/GM 
SALDO A FAVOR DEL CONTRATISTA DE S/ 27,052.37.
 RECEPCIONADA (ENE 2018) 
OBRA CULMINADA (2017)
04/02/2026: EN 108 DÍAS SE VENCERÁ EL PLAZO PARA REGISTRAR LA SECCIÓN C DEL FORMATO N° 09</t>
  </si>
  <si>
    <t>EN LIQUIDACION DE OBRA, LIQUIDACION DEL CONTRATO DE EJECUCION CON RESOLUCION 233-2018-A-MDCH/CH
04/02/2026: HACE 43 DÍAS VENCIÓ EL PLAZO PARA REGISTRAR LA SECCIÓN C DEL FORMATO N° 09.</t>
  </si>
  <si>
    <t xml:space="preserve">
04/02/2026: LA EJECUCION DE OBRA CULMINO EL 29 DE ENERO DEL 2020, LA FECHA DE RECEPCION 07 DE SETIEMBRE DEL 2020 Y LA LIQUIDACION TIENE FECHA DE 14 DE DICIEMBRE DEL 2020
30/07/2025 DESDE LA UGSC, SE HA REMITIDO  A LA UEI EL 22/07/2025 EL OFICIO N° 01261-2025-MINEDU/VMGI-PRONIED-UGSC (I-010629-2025
V-1), SOLICITUD DE REMISIÓN DEL ESTADO SITUACIONAL DEL PI. PENDIENTE QUE LA UEI REMITA INFORME
SE ENCUENTRA PENDIENTE DE CIERRE EN EL BANCO DE INVERSIONES; POR OTRA PARTE LA MD, INCUMPLE CON EL ENVÍO DE INFORMACIÓN MENSUAL DEL PROYECTO, PENDIENTE DE ENVÍO DEl ACTA DE RECEPCIÓN,  LA LIQUIDACIÓN FÍSICA Y FINANCIERA DEL PROYECTO. 
23.04.25. SE REMITIÓ OFICIO DE SOLICITUD DE INFORME MENSUAL </t>
  </si>
  <si>
    <t>"OBRA EN LIQUIDACIÓN : OBSERVADA
LA UEI EN RESPUESTA A LA SOLICITUD DE LA UGSC, CON FECHA 24/02/2025 REMITIÓ EL OFICIO N°  0125-2025-GM-NDL/CH MEDIANTE EL CUAL ADJUNTA EL INFORME N° 153-2025-MDL/GSLP/ERUG  EN EL CUAL MENCIONA QUE LA LIQUIDACIÓN TÉCNICA PRESENTADA POR EL CONSULTOR SE ENCUENTRA OBSERVADA POR EL ÁREA DE SUPERVISIÓN DE LA UEI TRAVÉS DEL INFORME N° 1537-2024/MDL/GSL/P/ERU/G  DEL 23/12/2024
DESDE LA UGSC, SE HA REMITIDO EL 14/02/2025 EL OFICIO N° 052-2025-MINEDU/VMGI-PRONIED-UGSC A LA UEI, COMUNICANDO INCUMPLIMIENTO DE REGISTRO DE INFORMACIÓN Y CIERRE, TODA VEZ QUE EN EL BANCO DE PROYECTOS CONTINÚA FIGURANDO COMO ACTIVO.
PENDIENTE QUE LA UEI EN EL MARCO DEL CIERRE REMITA E INFORME SOBRE LA LIQUIDACIÓN DE OBRA, LIQUIDACIÓN DE SUPERVISIÓN DE OBRA Y ACTA DE TRANSFERENCIA A LA UGEL CORRESPONDIENTE."
FECHA DE INICIO DE OBRA : 25/09/2018
CULMINACION REAL 04/10/2019
FECHA DE TERMINO PROG: 21/07/2019
RECEPCION  04/12/2019</t>
  </si>
  <si>
    <t>SALDO DE OBRA (AD)
OBRA CULMINADA 07/12/22 RECEPCIONADA 15/03/2023 
EN PROCESO DE LIQUIDACIÓN DE OBRA</t>
  </si>
  <si>
    <t xml:space="preserve">
OBRA CULMINADA 08/12/2019 Y RECEPCIONADA 03/01/2020
LIQUIDACION DE OBRA: RESOLUCION GERENCIA 066-2020-GM-MDL/PQ, LIQUIDACION DE SUPERVISION: RESOLUCION GERENCIA 083-2020-GM-MDL/PQ
LIQUIDACION TECNICA FINANCIERA: RESOLUCION GERENCIA 101-2020-GM-MDL/PQ (29/12/2020)
NO CUENTA CON PAGOS PENDIENTES.
MEDIANTE OFICIO N° 077-2024-A-MDL/A DE FECHA 09/04/24 LA MD SOLICITA A LA UGEL CUSCO INICIAR EL TRAMITE DE TRANSFERENCIA DE OBRA. A LA FECHA, NO SE TIENE RESPUESTA.</t>
  </si>
  <si>
    <t>DS N° 118-2018-EF</t>
  </si>
  <si>
    <t>LIQUIDACIÓN DE OBRA
CULMINACION: 29/12/2019 - RECEPCION: 05/03/2020
LIQUIDACION DE OBRA: RESOLUCIÓN DE ALCALDÍA N° 0128-2020-MDM DEL 31/07/2020
PENDIENTE UEI REMITA E INFORME SOBRE LIQUIDACIÓN DE SUPERVISIÓN
DESDE LA UGSC, SE HA REMITIDO EL OFICIO N° 789-2024-MINEDU/VMGI-PRONIED-UGSC EL 23/05/2025 A LA OCI DE LA MUNICIPALIDAD PROVINCIAL DE HUAMALIES, COMUNICANDO EL INCUMPLIMIENTO DE REGISTRO DE INFORMACIÓN Y CIERRE DEL PROYECTO DE INVERSIÓN CON CUI Nº 2293026, A CARGO DE LA MUNICIPALIDAD DISTRITAL DE MONZÓN</t>
  </si>
  <si>
    <t xml:space="preserve">LIQUIDACIÓN DE OBRA
CULMINADA 30/11/2018 - ACTA DE RECEPCIÓN 14/12/2018
CON LIQUIDACION DE OBRA: RESOLUCION DE GERENCIA MUNICIPAL N° 059-2018-MDT/GM (27/12/2018)
EN PROCESO DE LIQUIDACION DE SUPERVISION.
DESDE LA UGSC SE HA REMITIDO, EL OFICIO N° 845-2025-MINEDU-VMGI-PRONIED-UGSC A LA OCI DE LA MP AMBO, COMUNICANDO EL INCUMPLIMIENTO DE REGISTRO DE INFORMACIÓN Y CIERRE DEL PROYECTO DE INVERSIÓN CON CUI Nº 2179214, A CARGO DE LA MD DE TOMAY KICHWA </t>
  </si>
  <si>
    <t xml:space="preserve">RECEPCIÓN DE OBRA
CULMINADA: 17/06/2018 - ACTA RECEPCION: 16/08/2018
PENDIENTE UEI REMITA E INFORME SOBRE LIQUIDACIÓN DE OBRA, SUPERVISIÓN Y ACTA DE TRANSFERENCIA PARA SU POSTERIOR CIERRE. 
*DESDE LA UGSC, EL 16/07/2025 SE REMITE A LA MUNICIPALIDAD EL OFICIO N° 001191-2025-MINEDU-VMGI-PRONIED-UGSC, A TRAVÉS DEL CUAL, SE REITERA LA SOLICITUD DEL ENVÍO DE INFORME SITUACIONAL DEL PI DE MANERA MENSUAL, ASÍ COMO EL ENVÍO DE INFORME EN UN PLAZO DE 05 DÍAS HÁBILES DE RECIBIDO EL DOCUMENTO. </t>
  </si>
  <si>
    <t>OBRA PARALIZADA (DESDE DIC 2018) POR DEFICIENCIAS ESTRUCTURALES Y FALTA DE PRESUPUESTO PARA EJECUCIÓN DE SALDO DE OBRA Y REFORZAMIENTO ESTRUCTURAL.
MEDIANTE OFICIO N° 001584-2025-UGSC (02.09.2025) SE SOLICITA A UEI EL INFORME SITUACIONAL RESPECTO A LA IMPLEMENTACION DEL PLAN DE CONTINGENCIA.
AL RESPECTO, MEDIANTE OFICIO N° 479-2025-MPH/GOP (26.09.2025) LA UEI INFORMA QUE SE VIENE HACIENDO USO DE AULAS PREFABRICADAS DE ESTRUCTURA METALICA Y PANELES DE ALUMINIO. LA UEI INFORMA QUE EL ESTADO DE DICHAS AULAS:
- DEBIDO AL MATERIAL METALICO EN HORAS DE LA TARDE SE REGISTRA UN INCREMENTO CONSIDERABLE DE TEMPERATURA
- LA VENTILACION ES LIMITADA AL CONTAR CON VENTANAS PEQUEÑAS
- SE REQUIERE MEJORA DE ILUMINACION ARTIFICIAL
- INSTALACIONES ELECTRICAS PRESENTAN CANALETAS SIN PROTECCION ADECUADA EN ALGUNOS TRAMOS
- NO SE CUENTA CON ADECUADA SEÑALIZACION DE SALIDAS DE EMERGENCIA
- CAPACIDAD DE AFORO DE AULAS (20 ESTUDIANTES) NO ES SUFICIENTE
- NO SE CUENTA CON ACCESO A INTERNET
MEDIANTE INFORME N° 000541-2025-MINEDU-VMGI-PRONIED-UZJU (18.06.2025) EL MONITOR DE OBRA INFORMA SOBRE SU VISITA DEL 16 JUN 2025 LO SIGUIENTE:
- SE ESTÁ HACIENDO USO DE 02 AMBIENTES (AULAS) QUE CUENTAN CON DEFICIENCIAS ESTRUCTURALES Y SERÍAN DEMOLIDAS PARA LA CONSTRUCCION DE LA NUEVA INFRAESTRUCTURA.
AL RESPECTO, SE COMUNICARÁ A LA OCI DE LA MP HUANCAYO PARA LAS ACCIONES DE CONTROL CORRESPONDIENTES. 
MEDIANTE OFICIO N° 192-2025-MPH/GOP (15.04.2025) LA MP HUANCAYO BRINDA INFORMACION DEL ESTADO SITUACIONAL DE LA OBRA:
- EN NOV 2019, MEDIANTE INFORME PERICIAL SE ALERTA QUE EJECUCION DE OBRA NO CONSIDERO REGLAMENTO DE EDIFICACIONES (NORMA E-030) Y QUE CON EL USO, EDIFICACION PODRÍA COLAPSAR
- ALUMNOS VIENEN ESTUDIANDO EN AULAS PREFABRICADAS
- EN MAR 2021 SE LLEVO A CABO UNA VERIFICACION IN SITU EN LA CUAL SE REALIZARON PRUEBAS DE DIAMANTINA Y SE LLEGO A LA CONCLUSION QUE AULAS, SALA MULTIPLE, BAÑOS Y AULA DE INNOVACION PEDAGOGICA NO CUMPLE CON LA NORMA ESTABLECIDA
- ENTIDAD INDICA QUE REQUIERE FINANCIAMIENTO PARA EJECUCION DE SALDO DE OBRA
MONITOR INFORMA QUE, SEGUN PERITAJE JUDICIAL, OBRA HABRÍA LLEGADO A UN AVANCE FÍSICO ACUMULADO DE 51.97%.
SE VERIFICA EN EL FORMATO N° 08-A QUE MEDIANTE R.G.O.P. N° 055-225-MPH/GOP (31.05.2025) SE APRUEBA EL EXPEDIENTE TECNICO DE SALDO DE OBRA POR UN MONTO DE S/ 1,877,970.70 CON UN PLAZO DE EJECUCION DE 270 DC POR ADMINISTRACION INDIRECTA.
AL RESPECTO, ENTIDAD INFORMA QUE SOLICITARAN RECURSOS.</t>
  </si>
  <si>
    <t>DS N° 370-2019-EF
(6)
MEF</t>
  </si>
  <si>
    <t>OBRA PRINCIPAL CULMINADA (2019), RECEPCIONADA (2019) Y CUENTA CON LIQUIDACIÓN DE OBRA (2019-2020). OBRAS COMPLEMENTARIAS (CONSTRUCCIÓN DE CISTERNAS Y TANQUES ELEVADOS ASÍ COMO EQUIPAMIENTO DE AULAS) CULMINARON EN DIC 2020. 
MEDIANTE OFICIO N° 000241-2026-MINEDU-VMGI-PRONIED-UGSC (26.02.2026) SE SOLICITO A LA ENTIDAD EL INFORME SITUACIONAL MENSUAL DEL PI.
AL RESPECTO, MEDIANTE OFICIO Nº 245-2026-A/MDRT (09.03.2026) LA UEI INFORMA QUE SE CUENTA CON LIQUIDACION FINAL APROBADA MEDIANTE R.G. N° 202-2025-GM/MDRT (21.10.2025) Y SE ENCUENTRA EN PROCESO DE CIERRE EN EL BANCO DE INVERSIONES DEL MEF.
MEDIANTE OFICIO N° 555-2025-A/MDRT (16.06.2025) LA MD RIO TAMBO BRINDA INFORMACION DE LAS 7 IE CONTEMPLADAS EN EL PI:
- IE 686 HUERTO EDEN: 
INICIO DE OBRA: 15.10.2018 - CULMINACION DE OBRA: 22.07.2019 - RECEPCION DE OBRA: 27.08.2019 - 
LIQUIDACION DE OBRA: R.G.M. N° 524-2019-GM/MDRT (19.12.2019), COSTO TOTAL: S/ 2,333,716.12
- IE 1735 MONTE REY: 
INICIO DE OBRA: 02.11.2018 - CULMINACION DE OBRA: 18.08.2019 - RECEPCION DE OBRA: 06.11.2019 - 
LIQUIDACION DE OBRA: R.G.M. N° 300-2020-GM/MDRT (16.11.2020), COSTO TOTAL: S/ 1,756,286.56
- IE 908 PARAISO TONCAMA: 
INICIO DE OBRA: 02.11.2018 - CULMINACION DE OBRA: 29.07.2019 - RECEPCION DE OBRA: 19.09.2019 - 
LIQUIDACION DE OBRA: R.G.M. N° 269-2020-GM/MDRT (16.10.2020), COSTO TOTAL: S/ 2,071,774.36
- IE 2246 SAN LUIS DE KIRISHARI: 
INICIO DE OBRA: 26.11.2018 - CULMINACION DE OBRA: 31.07.2019 - RECEPCION DE OBRA: 13.09.2019 - 
LIQUIDACION DE OBRA: R.G.M. N° 268-2020-GM/MDRT (14.10.2020), COSTO TOTAL: S/ 1,550,084.17
- IE 2238 UNION JUNIN: 
INICIO DE OBRA: 02.11.2018 - CULMINACION DE OBRA: 13.08.2019 - RECEPCION DE OBRA: 27.08.2019 - 
LIQUIDACION DE OBRA: R.G.M. N° 536-2019-GM/MDRT (24.09.2019), COSTO TOTAL: S/ 1,481,104.95
- IE 802 UNION SANTA CRUZ: 
INICIO DE OBRA: 02.11.2018 - CULMINACION DE OBRA: 15.08.2019 - RECEPCION DE OBRA: 25.09.2019 - 
LIQUIDACION DE OBRA: ENTIDAD NO ADJUNTA RESOLUCION DE APROBACION PERO MENCIONA QUE FUE APROBADA MEDIANTE R.G.M. N° 535-2019-GM/MDRT .
- IE 706 VISTA ALEGRE: 
INICIO DE OBRA: 02.11.2018 - CULMINACION DE OBRA: 05.09.2019 - RECEPCION DE OBRA: ENTIDAD NO ADJUNTA ACTA DE RECEPCION - 
LIQUIDACION DE OBRA: R.G.M. N° 074-2020-GM/MDRT (12.03.2020), COSTO TOTAL: S/1,701,910.89
CABE MENCIONAR QUE LA ENTIDAD TAMBIEN REMITE LAS RESOLUCIONES QUE APRUEBAN LAS LIQUIDACIONES DE SUPERVISION DE 06 DE LAS 07 IE. ASIMISMO, ENTIDAD NO SE PRONUNCIA SOBRE ESTADO DOCUMENTARIO DE LAS OBRAS COMPLEMENTARIAS. SE ENVIARA OFICIO DE INCUMPLIMIENTO DE CIERRE.
MEDIANTE OFICIO N° 001031-2025-MINEDU/VMGI-PRONIED-UGSC (02.07.2025) SE COMUNICA A LA ENTIDAD EL INCUMPLIMIENTO DE REGISTRO DE INFORMACIÓN Y CIERRE DEL PI EN EL BANCO DE INVERSIONES; ASIMISMO SE LE SOLICITA REMITIR UN INFORME DETALLADO QUE CONTENGA LA ACTUALIZACION DEL FORMATO N° 12B, DOCUMENTO QUE ACREDITE LIQUIDACION TECNICA FINANCIERA DEL PROYECTO Y DOCUMENTO QUE ACREDITE CIERRE DE PI A TRAVÉS DE FORMATO N° 09.</t>
  </si>
  <si>
    <t>AAGOSTO_ MEDIANTE I-019757-2025 , INFORME N° 001179-2025-MINEDU-VMGI-PRONIED-UGSC-COMS , SE COMUNICA INCUMPLIMIENTO DE REGISTRO DE INFORMACIÓN Y CIERRE DEL PROYECTO DE INVERSIÓN CON CUI. Nº 2199839, A CARGO DE LA MUNICIPALIDAD DISTRITAL DE HUANCHACO.
OBRA CULMINADA (OCT 2017), RECEPCIONADA (NOV 2017) Y CUENTA CON LIQUIDACIÓN DE OBRA APROBADA MEDIANTE RESOLUCIÓN DE ALCALDÍA N° 637-2017-MDH CON UN SALDO A FAVOR DEL CONTRATISTA DE S/ 22,434.35.
MEDIANTE OFICIO N° 050-2024-MPH/GOP/ERTM (09.07.2024) LA MD HUANCHACO ENVIA SU INFORME SITUACIONAL. EN DICHO DOCUMENTO INFORMA QUE CON FECHA 26 ENE 2023 LA MD SOLICITO INFORMACION AL CONTRATISTA RESPECTO A LOS MONTOS OTORGADOS Y SALDOS QUE QUEDEN POR RECONOCER, SIN HABER TENIDO RESPUESTA ALGUNA.
ASIMISMO, SE LE HA REITERADO, MEDIANTE CORREO ELECTRONICO LA ENTREGA DE LA SIGUIENTE DOCUMENTACION:
- RESOLUCIONES DE LIQUIDACIÓN DE SUPERVISIÓN DE OBRA
ASIMISMO, REMITIR INFORMACIÓN SOBRE:
- OBRAS COMPLEMENTARIAS, SI LAS HUBIERA
- ESTADO DE CIERRE DE PROYECTO, PENDIENTES PARA EFECTUAR EL CIERRE DE LOS PROYECTOS EN EL BANCO DE INVERSIONES
- RESPONSABLE(S) DE PROYECTOS PARA COORDINACIONES</t>
  </si>
  <si>
    <t>LIQUIDACION DE OBRA_
OBRA CULMINADA (19.01.2018,RECEPCIONADA (20.03.2018) Y CUENTA CON LIQUIDACIÓN DE OBRA: R.A N° 176-2018-MDP/A (10.08.2018). 
SEGUN REGISTRO EN FORMATO 12-B SE ENCUENTRA EN PROCESO DE TRANSFERENCIA A LA GERENCIA DE EDUCACION DE LAMBAYEQUE. ENTIDAD NO CUMPLE CON INFORMAR NI A LA UGSC NI A LA UNIDAD ZONAL SOBRE LA LIQUIDACIÓN DE TODOS LOS COMPONENTES DEL PI NI DE LAS ACCIONES PARA EL CIERRE DEL PI. UNIDAD ZONAL HA INGRESADO UNA SEGUNDA NOTIFICACION EL 19 MAY.
LIQ. SUPERVISION: UEI PENDIENTE REMITA DOC</t>
  </si>
  <si>
    <t>LIQUIDACIÓN DE OBRA
OBRA CULMINADA: 05/02/2019, RECEPCIONADA: 25/04/2019, CON RESOLUCIÓN DE LIQUIDACIÓN DE OBRA: RESOLUCIÓN GERENCIAL Nº 048-2019-HMPP-A/GM (22/10/2019) - LIQUIDACIÓN DE SUPERVISIÓN DE OBRA: RESOLUCION GERENCIAL N° 052-2019-HMPP-A/GM (29/10/2019)
LA OBRA SE ENCUENTRA CULMINADA (05/02/2019) Y RECEPCIONADO (25/04/2019). SE CUENTA CON LARESOLUCIÓN GERENCIAL Nº 048-2019-HMPP-A/GM CON FECHA 22/10/2019 DE LA LIQUIDACIÓN DE EJECUCIÓN Y LA RESOLUCION GERENCIAL N° 052-2019-HMPP-A/GM CON FECHA 29/10/2021 DE LA SUPERVISIÓN.
SE NOTIFICÓ MEDIANTE  CORREO ELECTRÓNICO AL ORGANO DE CONTROL INTERNO DE LA MP PASCO  Y CONTRALORIA CON FECHA 29/08/2025, EL OFICIO N°  1497-2025-MINEDU-VMGI-PRONIED-UGSC DONDE SE COMUNICA INCUMPLIMIENTO DE REGISTRO DE INFORMACIÓN Y CIERRE DEL PROYECTO INVERSIÓN.</t>
  </si>
  <si>
    <t xml:space="preserve">
LIQUIDACIÓN DE OBRA - SALDO DE OBRA
OBRA PRINCIPAL: INICIO DE OBRA 22.12.2017 (EJECUTADO POR ADMINISTRACIÓN DIRECTA)
22.10.2020 A TRAVÉS DE RESOLUCIÓN GERENCIAL N° 235-2020-HMPP-A/GM SE APRUEBA EL EXPEDIENTE DE CORTE TÉCNICO
SALDO DE OBRA – I ETAPA: INICIO DE OBRA 12/03/2021 (EJECUTADO POR ADMINISTRACIÓN DIRECTA)
ACTA DE RECEPCIÓN: 06/05/2022
SALDO DE OBRA - II ETAPA: INICIO DE OBRA 22/09/2023 (EJECUTADO POR ADMINISTRACION INDIRECTA)
FECHA CULMINACIÓN CONTRACTUAL: 20/12/2022 - ACTA DE RECEPCIÓN 24/03/2023, LIQUIDACIÓN DE OBRA: RESOLUCIÓN GERENCIAL Nº 0285-2023-HMPP-A/GM 
LA UEI HA REGISTRADO EN LA PLATAFORMA DEL SSI (BANCO DE INVERSIONES) MEDIANTE EL FORMATO 12B QUE SE CUENTA CON LA LIQUIDACION DEL COMPONENTE DE EJECUICION ETAPA I - ADMINISTRACION DIRECTA APROBADO , MEDIANTE LA R.G.G N°592-2024 ( SE TIENE PENDIENTE REMITIR LA DOCUMENTACIÓN)
SE NOTIFICÓ MEDIANTE  CORREO ELECTRÓNICO AL ÓRGANO DE CONTROL INSTITUCIONAL DE LA MUNICIPALIDAD PROVINCIAL DE PASCO CON FECHA 30/09/2025, EL OFICIO N°1774-2025-MINEDU/VMGI-PRONIED-UGSC DONDE SE COMUNICA INCUMPLIMIENTO DE REGISTRO DE INFORMACIÓN Y CIERRE DEL PROYECTO DE INVERSIÓN CON CUI N° 2223552, A CARGO DE LA MUNICIPALIDAD PROVINCIAL DE PASCO.
</t>
  </si>
  <si>
    <t>LIQUIDACIÓN DE OBRA
OBRA CULMINADA: 05/03/2021 - RECEPCIONADA: 12/05/2021
RESOLUCIÓN DE LIQUIDACIÓN DE OBRA: RESOLUCION DE GERENCIA MUNICIPAL N° 74-2022-GM-MPDAC-YHCA (04/03/2022) - RESOLUCIÓN DE LIQUIDACIÓN DE SUPERVISIÓN: RESOLUCION DE GERENCIA MUNICIPAL N° 415-2022-GM-MPDAC-YHCA (02/12/2022)
LA UEI REMITE EL OFICIO N° 000032-2025-MPDAC/A (16/01/2025) EL CUAL TRANSLADA EL INFORME N° 000075-2025 (13/01/2025) DONDE SE COMUNICA QUE PARA REALIZAR EL CIERRE DE LA INVERSIÓN, SE VERIFICÓ LOS PAGOS EFECTUADOS, DONDE SE EVIDENCIA UNA INCONGRUENCIA EN UN MONTO DEVENGADO EN DICIEMBRE DEL 2021 POR UN MONTO DE - S/184,542.10, POR LO QUE SE ESTA REALIZANDO COORDINACIONES CON EL AREA PARA REVISAR EL DEVENGADO NEGATIVO. LA UEI TIENE PENDIENTE REALIZAR LA MODIFICACIÓN PARA POSTERIORMENTE REALIZAR EL CIERRE.
SE NOTIFICÓ MEDIANTE  CORREO ELECTRÓNICO AL ORGANO DE CONTROL INTERNO DE LA MP DANIEL ALCIDES CARRION  Y CONTRALORIA CON FECHA 29/08/2025, EL OFICIO N°  1499-2025-MINEDU-VMGI-PRONIED-UGSC DONDE SE COMUNICA INCUMPLIMIENTO DE REGISTRO DE INFORMACIÓN Y CIERRE DEL PROYECTO INVERSIÓN CON CUI N° 2320843, A CARGO DE LA MUNICIPALIDAD PROVINCIAL DE DANIEL ALCIDES CARRION.</t>
  </si>
  <si>
    <t>CONTRATO RESUELTO - EN PROCESO ARBITRAL
OBRA PRINCIPAL: CULMINACIÓN: MEDIANTE INFORME N° 03-2019-MDH/VATT-SO DE FECHA 02/09/2019 LA SUPERVISIÓN SOLICITA LA RECEPCIÓN DE OBRA, AL ESTAR CULMINADA LA OBRA - EL 21/11/2019 INSPECCIÓN PARA RECEPCIÓN DE OBRA, REGISTRANDO PLIEGO DE OBSERVACIONES - EL 21/01/2020 SE REGISTRA ACTA VERIFICACIÓN DE LEVANTAMIENTO DE OBSERVACIONES, INDICANDO QUE NO SE LEVANTARON LAS OBSERVACIONES Y NO SE RECEPCIONA LA OBRA
CONTRATO RESUELTO: EL 06/02/2020 SE RESUELVE CONTRATO A CONTRATISTA POR INCUMPLIMIENTO CONTRACTUAL (RESOLUCION GERENCIA MUNICIPAL Nº 0019-202-MDH-GM), AL HABER SUPERADO PENALIDAD MÁXIMA - EL 13/02/2020 SE SUSCRIBIÓ ACTA CONSTATACIÓN FÍSICA E INVENTARIO DE BIENES, EN PRESENCIA DE ENTIDAD, CONTRATISTA Y JUEZ DE PAZ - EL 04/11/2021 EL CENTRO DE ARBITRAJE DE LA CAMARA DE COMERCIO DE PIURA, NOTIFICA A LA MUNICIPALIDAD DEL LAUDO ARBITRAL, INDICANDO QUE DECLARA PROCEDENTE LA RESOLUCIÓN DE CONTRATO, QUE EL CONTRATISTA ASUMA EL PAGO POR PENALIDADES (05) DÍAS. EL 09/05/2025 LA CORTE SUPERIOR DE JUSTICIA DE PIURA, ADMITE LA DEMANDA DE NULIDAD DEL ACTA DE CONCILIACIÓN (ACUERDO TOTAL N° 119-2023) INTERPUESTA POR LA MD HUARMACA
 CON ACTA DE CONSTACIÓN FÍSICA E INVENTARIO DE OBRA PARA  ACCIONES DE TRANSFERENCIA DE OBRA EN SESIÓN DE USO, DE FECHA 06/04/2022</t>
  </si>
  <si>
    <t>LIQUIDACIÓN DE OBRA
CULMIANDA 14/10/2018 - ACTA DE RECEPCIONADA 13/12/2018
CON LIQUIDACION DE OBRA: RESOLUCIÓN GERENCIAL  N°030-2019-MDSMF/GM 
UEI INDICA ESTAR COORDINANDO Y BUSCANDO DOCUMENTACIÓN PARA LA TRANSFERENCIA TÉCNICA Y FINANCIERA DE LA IE A LA UGEL PIURA (OFICIO Nº 157-2025-MDSMF/A - 17/03/2025)
DESDE LA UGSC SE HA REMITIDO, EL OFICIO N° 1910-2025-MINEDU-VMGI-PRONIED-UGSC, EL 16/10/2025 A LA OCI DE LA MP HUANCABAMBA, COMUNICANDO EL INCUMPLIMIENTO DE REGISTRO DE INFORMACIÓN Y CIERRE DEL PROYECTO DE INVERSIÓN CON CUI Nº 2236140</t>
  </si>
  <si>
    <t>LIQUIDACIÓN DE OBRA
LA OBRA SE ENCUENTRA CULMINADA 15/07/2018, RECEPCIONADA 26/09/2018, CUENTA CON LIQUIDACION DE OBRA: RESOLUCIÓN DE ALCALDIA N°386-2018MDSMF
UEI HA INFORMADO QUE TIENE PENDIENTE REALIZAR LA TRANSFERENCIA DE LA OBRA A LA UGEL , HAN DESIGNADO COMITE RESPONSABLE DE LA TRANSFERENCIA (15/04/2025)
DESDE LA UGSC SE HA REMITIDO, EL OFICIO N° 1739-2025-MINEDU-VMGI-PRONIED-UGSC A LA OCI DE LA MP HUANCABAMBA, COMUNICANDO EL INCUMPLIMIENTO DE REGISTRO DE INFORMACIÓN Y CIERRE DEL PROYECTO DE INVERSIÓN CON CUI Nº 2284880, A CARGO DE LA MD DE SAN MIGUEL DE EL FAIQUE</t>
  </si>
  <si>
    <t>LIQUIDACIÓN DE OBRA
OBRA CULMINADA: 20/02/2020, RECEPCIONADA: 06/11/2020
LIQUIDACIÓN DE OBRA: RESOLUCIÓN DE GERENCIA MUNICIPAL 033-2021-MDH-GM (08/02/2021)
LIQUIDACIÓN DE SUPERVISIÓN: RESOLUCIÓN DE GERENCIA DE INFRAESTRUCTURA Nº 047-2024-MDH/GI (27/05/2024)
UEI HA INDICADO QUE SE ENCUENTRA PENDIENTE EL ACTA DE TRANSFERENCIA PATRIMONIAL, PARA PODER REALIZAR EL CIERRE.
DESDE LA UGSC SE HA REMITIDO EL 16/09/2025, EL OFICIO N° 1678-2025-MINEDU-VMGI-PRONIED-UGSC A LA OCI DE LA MP HUANCABAMBA, COMUNICANDO EL INCUMPLIMIENTO DE REGISTRO DE INFORMACIÓN Y CIERRE DEL PROYECTO DE INVERSIÓN CON CUI Nº 2301175, A CARGO DE LA MD HUARMACA</t>
  </si>
  <si>
    <t xml:space="preserve">LIQUIDACION DE OBRA_ 
NO CUENTA CON F12B, SEGUN SISCOV  LA 6 IE SE ENCUENTRAN CULMINADAS Y CUENTAN CON LIQUIDACION DE OBRA 
IE TIQUITIQUI - R.A N° 096-2018-MDV/GM DEL 25/07/2018
IE YAPITIRA - R.A N°089-2018-MDV/GM DEL 04/07/2018
IE NUEVA INDENPENDENCIA - R.A N°085-2018-MDV/GM DEL 04/07/2018
IE HUIJIPATA - R.A N°095-2018-MDV/GM DEL 25/07/2018
IE SICTA - R.A N°100-2018-MDV/GM
IE SOLITARIO - R.A N° 038-2018-MDV/GM DEL 05/04/2018
LIQ. SUPERVISION: NO SE CUENTA CON DICHA INFORMACION POR PARTE DE LA UEI 
PROYECTO NO CUENTA CON REGISTRO DE  F08, F09 NI F12B 
</t>
  </si>
  <si>
    <t>RECEPCION DE OBRA
OBRA DE GESTION PASADA, UEI NO CUENTA CON TODA LA INFORMACION FINAL PARA CERRAR EL PROYECTO EN EL SISTEMA . INDICA DE SE ENCUENTRA EN PROCESO DE CONTROVERSIA PARA SU DE LIQUIDACIÓN
CULMINACION:30/11/2019
RECEPCION: 31/12/2019
MEDIANTE CARTA N°040-2022-SGIDU/MPL, DE FECHA 06 DE MAYO DEL 2022, LA SUB GERENCIA DE INFRAESTRUCTURA Y DESARROLLO URBANO, INFORMA QUE EL PROYECTO FUE ENTREGADO MEDIANTE ACTA ENTREGA PROVISIONALMENTE DE INFRAESTRUCTURA EDUCATIVA A LA COMUNIDAD</t>
  </si>
  <si>
    <t>LIQUIDACION DE OBRA_
SEGÚN SSI, LA OBRA SIGUE  EN PROCESO DE LIQUIDACION, CUENTA CON FORMATO N°09 SIN CERRAR EN EL SISTEMA.
LA OBRA ESTA CONCLUIDA DESDE EL 05/04/2019 SIN EMBARGO HASTA LA FECHA NO SE ENCUENTRA LIQUIDADO A CAUSA QUE LA OBRA SE ENCONTRABA EN PROCESO DE ARBITRAJE. EL 23/05/2022 SE REALIZO LA TRANSFERENCIA DE OBRA Y DESDE EL MES DE AGOSTO SE ENCUENTRA EN USO POR PARTE DE COMUNIDAD EDUCATIVA. PENDIENTE QUE LA UEI ENVIE INFORME O DOCUMENTACION. 
POR INFORME DE VISITA DE MONITOR ZONAL DE FECHA 12 DE MARZO DEL 2025 SE EVIDENCIA QUE LA OBRA PRESENTA OBSERVACIONES POR LO QUE SE SOLICITA A LA UNIDAD EJECUTORA EVALUAR SI LAS OBSERVACIONES CORRESPONDEN A VICIOS OCULTOS Y SI ESTOS SE ENCUENTRAN DENTRO DEL PERIODO DE GARANTÍA, PARA QUE PUEDA PROCEDER CON LAS ACCIONES QUE CORRESPONDAN.</t>
  </si>
  <si>
    <t>SALDO DE OBRA CULMINADA (2019) Y RECEPCIONADA (2020)
MEDIANTE OFICIO N°002071-2025-MINEDU-VMGI-PRONIED-UGSC (03.11.2025) SE COMUNICA A LA ENTIDAD EL INCUMPLIMIENTO DE REGISTRO DE INFORMACIÓN Y CIERRE DEL PI EN EL BANCO DE INVERSIONES; ASIMISMO SE LE SOLICITA REMITIR UN INFORME DETALLADO QUE CONTENGA LA ACTUALIZACION DEL FORMATO N° 12B, DOCUMENTO QUE ACREDITE LIQUIDACION TECNICA FINANCIERA DEL PROYECTO Y DOCUMENTO QUE ACREDITE CIERRE DE PI A TRAVÉS DE FORMATO N° 09.
MEDIANTE OFICIO N° 1185-2025-MPM/A Y 1189-2025-MPM/A (04.11.2025) LA ENTIDAD INFORMA QUE MEDIANTE NOTA INFORMATIVA N° 0208-2025-MPM-GIP/SGEO (08.05.2025) SOLICITO AL PROCURADOR MUNICIPAL EL ESTADO SITUACIONAL DEL PROYECTO. 
AL RESPECTO, MEDIANTE INFORME N° 00022-2025-MPM/PPM-PGE (21.05.2025) LA PROCURADORIA MUNICIPAL INFORMA QUE CONTRATO SUSCRITO ENTRE LA UEI Y EL CONTRATISTA SE ENCUENTRA SOMETIDO A UN PROCESO ARBITRAL, PROCESO QUE A LA ACTUALIDAD SE ENCUENTRA EN TRAMITE DESDE EL 2018, Y NO CUENTA CON LAUDO ARBITRAL EMITIDO. ASIMISMO RECOMIENDA QUE ANTE LA NO RESPUESTA POR PARTE DEL TRIBUNAL ARBITRAL AL PEDIDO DE ABANDONO PROCESAL Y PEDIDO DE LEVANTAMIENTO DE MEDIDA CAUTELAR, LA UEI TOME ACCIONES DE COORDINACION DEL PROCESO ARBITRAL CON EL CONTRATISTA.
CABE MENCIONAR QUE PROCESO ARBITRAL SE DEBIO A TRES CONTROVERSIAS:
1. CONSENTIMIENTO DE AMPLIACION DE PLAZO N° 02 (113 DC)
2. APROBACION DE AMPLIACION DE PLAZO N° 06 (15 DC)
3. PLAZO REAL DE LA EJECUCION DE OBRA
OBRA PRINCIPAL, AVANCE 81,74%: CULMINADA (2018) , RECEPCIONADA (2018) Y CUENTA CON LIQUIDACION DE OBRA APROBADA EN EL 2018 SEGUN LO REGISTRADO EN INFOBRAS.
SALDO DE OBRA: CULMINADA (2019) Y RECEPCIONADA (2020)</t>
  </si>
  <si>
    <t>OBRA CULMINADA (2021), RECEPCIONADA (2022) Y CUENTA CON LIQUIDACION DE SUPERVISION APROBADA MEDIANTE R.G. N° 154-2021-MDAB/C Y LIQUIDACION DE OBRA APROBADA MEDIANTE R.G. N° 049-A-2022-MDAB/A
MEDIANTE OFICIO N° 111-2025-MDAB/A (06.05.2025) LA MD ALTO BIAVO CUMPLE CON REMITIR SU INFORME SITUACIONAL MEDIANTE EL CUAL SEÑALA QUE LA OBRA HA SIDO RECEPCIONADA POR LA UGEL BELLAVISTA.
POR TAL MOTIVO, SE ENVIARÁ OFICIO A LA MD SOLICITANDOLE EL CIERRE DEL PROYECTO EN EL BANCO DE INVERSIONES.
MEDIANTE OFICIO N° 000696-2025-MINEDU/VMGI-PRONIED-UGSC (09.05.2025) SE COMUNICA A LA ENTIDAD EL INCUMPLIMIENTO DE REGISTRO DE INFORMACIÓN Y CIERRE DEL PI EN EL BANCO DE INVERSIONES.
AL NO CONTAR CON RESPUESTA POR PARTE LA MD, SE LE HA ENVIADO A LA OCI DE LA MD EL OFICIO N° 001326-2025-MINEDU/VMGI-PRONIED-UGSC (07.08.2025) COMUNICANDO EL INCUMPLIMIENTO POR PARTE DE LA MD.</t>
  </si>
  <si>
    <t>2018</t>
  </si>
  <si>
    <t>DS N° 113-2018-EF</t>
  </si>
  <si>
    <t>LIQUIDACIÓN DE OBRA
CULMINACION: 22/03/20219 - ACTA RECEPCIÓN 30/09/2019
LIQUIDACIÓN DE OBRA: RESOLUCIÓN DE ALCALDÍA Nº 010-2020-A -MDP/DM-HCO (06/01/2020)
PENDIENTE UEI REMITA E INFORME SOBRE LIQUIDACIÓN DE SUPERVISIÓN DE OBRA Y ACTA DE TRANSFERENCIA DE IE, PARA EL CIERRE DEL PI
DESDE LA UGSC SE HA REMITIDO EL 27/06/2025, EL OFICIO N° 1014-2025-MINEDU-VMGI-PRONIED-UGSC A LA OCI DE LA MP DOS DE MAYO, COMUNICANDO EL INCUMPLIMIENTO DE REGISTRO DE INFORMACIÓN Y CIERRE DEL PROYECTO DE INVERSIÓN CON CUI Nº 2202661, A CARGO DE LA MD PACHAS</t>
  </si>
  <si>
    <t>MEDIANTE OFICIO N° 001107-2025-MINEDU/VMGI-PRONIED-UGSC,SE DERIVO PI U9AL ORGANO DE CONTROL INSTITUCIONAL DE LA MP PATAZ 
OBRA CULMINADA (MAR 2019) Y RECEPCIONADA (ABR 2019). NO SE TIENE REGISTRO DE QUE OBRA HAYA SIDO LIQUIDADA.
SEGÚN REGISTRO DE F12 SE ENCONTRARÍA EN PROCESO DE LIQUIDACION: [14/07/2023] "1. PRESENTA UNA EJECUCION DE LA INVERSION DE 100% 2. EN PROCESO DE LIQUIDACION".</t>
  </si>
  <si>
    <t xml:space="preserve">LIQUIDACION DE OBRA_
OBRA CULMINADA (17.02.2019), RECEPCIONADA (27.07.2020) Y CUENTA CON LIQUIDACION DE OBRA APROBADA MEDIANTE R.A. N° 392-2020-MDL/A CON UN SALDO A FAVOR DEL CONTRATISTA POR S/ 364,037.51 (26.10.2020).
LIQ. SUPERVISION_ NO SE CUENTA CON DICHA INFORMACION
CUENTA CON F09, SIN CULMINAR Y PENDIENTE DE CIERRE EN SSI
MEDIANTE OFICIO N° 436-2024-MDLM/A (01.08.2024) LA MD REMITE SU INFORME SITUACIONAL EN EL QUE INFORMA QUE EL PI CUENTA CON LIQUIDACION FINAL Y QUE SE ESTÁ SUBIENDO LA DOCUMENTACION CORRESPONDIENTE EN EL BANCO DE INVERSIONES E INFOBRAS PARA SU CIERRE CORRESPONDIENTE.
</t>
  </si>
  <si>
    <t>DS N° 119-2018-EF</t>
  </si>
  <si>
    <t>CERRADO</t>
  </si>
  <si>
    <t>PI CERRADO EN EL BANCO DE INVERSIONES EL 09 ENE 2026.
SALDO DE OBRA CULMINADA AL 96.13% (2021), RECEPCIONADA (2021) Y CUENTA CON LIQUIDACION TECNICA FINANCIERA DEL PI APROBADA MEDIANTE R.SG. N° 002-2024-SGDUI-MPC.</t>
  </si>
  <si>
    <t>LIQUIDACION DE OBRA_
OBRA CULMINADA (2019), RECEPCIONADA (AGO 2019) Y CUENTA CON LIQUIDACIÓN DE OBRA APROBADA MEDIANTE R.G. N° 091-2019-MDP/GM CON UN SALDO A FAVOR DEL CONTRATISTA DE S/ 62,366.31.
ASIMISMO ENTIDAD HA REGISTRADO EN EL F12 QUE ESTÁ EN PROCESO DE REGISTRO DE CIERRE DE LA INVERSIÓN.</t>
  </si>
  <si>
    <t>LIQUIDACION DE OBRA_
OBRA CULMINADA (MAY 2021), RECEPCIONADA (JUL 2021) Y CUENTA CON LIQUIDACIÓN DE OBRA RA N° 346-A-2021-MDP/A. 
IE SE ENCUENTRA EN USO, SIN EMBARGO, ESTÁ PENDIENTE LA SUBSANACIÓN DE OBSERVACIONES RELACIONADAS A LAS CERRADURAS Y CERROJOS DE LA IE, MOBILIARIO Y EQUIPAMIENTO NO ENCONTRADO, LUMINARIAS, ETC.
MEDIANTE INFORME N° 1413-2023-MINEDU-VMGI-PRONIED-UZLA (23.11.2023) MONITOR DE OBRA INFORMA QUE EN VISITA A LA MD POMALCA DEL 16.11.2023 SOLICITÓ A LA ENTIDAD UN INFORME SOBRE EL CIERRE DEL PI EN EL BI. A LA FECHA SE VERIFICA QUE ENTIDAD NO HA CUMPLIDO CON LO SOLICITAD</t>
  </si>
  <si>
    <t>OBRA CULMINADA (2019), RECEPCIONADA (2019) Y CUENTA CON LIQUIDACION DE OBRA APROBADA MEDIANTE R.A. N° 059-2019-MDC/A (23.10.2019).
MEDIANTE INFORME N° 113-2025-MINEDU-VMGI-PRONIED-UZSANMARTIN (06.03.2025) EL MONITOR DE OBRA INFORMA LO SIGUIENTE RESPECTO A SU REUNION DE COORDINACION DEL 26 FEB 2025:
- LA OBRA NO HA SIDO USADA DESDE EL 2019 POR CONTAR CON OBSERVACIONES
- LA MUNICIPALIDAD SE HA COMPROMETIDO A REALIZAR EL LEVANTAMIENTO DE OBSERVACIONES CON RECURSOS PROPIOS
- LA MUNICIPALIDAD REALIZARÁ LAS GESTIONES ANTE ELECTRO ORIENTE Y EMAPA
AL RESPECTO, MEDIANTE INFORME N° 194-2025-MINEDU-VMGI-PRONIED-UZSANMARTIN (27.03.2025) EL MONITOR DE OBRA INFORMA QUE EN VISITA DEL 19 MAR 2025 REALIZÓ LAS SIGUIENTES OBSERVACIONES:
- CANALETAS INSTALADAS NO CUMPLEN CON LAS DIMENSIONES INDICADAS EN EL ET
- LADRILLO USADO EN CERCO PERIMETRICO NO ES EL INDICADO EN ET
- CHAPAS DE PUERTAS MALOGRADAS
- MARCO Y HOJAS DE MADERA DE PUERTAS SE ENCUENTRAN DESNIVELADAS
- CERAMICA INSTALADA PRESENTA LEVANTAMIENTO
- NO SE CUENTA CON SERVICIO DE AGUA POTABLE NI SISTEMA ELECTRICO
- NO SE APRECIA CON CONSTRUCCION DE TOPICO
- FALTA COLOCAR ABRAZADERAS EN TUBERIAS DE MONTANTES DE BAJADA DE AGUA PLUVIAL
- ENTRE OTRAS
MEDIANTE OFICIO Nº 001271-2025-MINEDU-VMGI-PRONIED-UGSC (01.08.2025), LA UGSC DE PRONIED SOLICITÓ A LA MD CASPISAPA REMITIR UN INFORME PRONUNCIÁNDOSE SOBRE LAS ACCIONES QUE REALIZARÁN, ESTABLECIENDO CRONOGRAMAS Y PLAZOS, EN RELACIÓN A LOS PUNTOS PREVIAMENTE DETALLADOS.
MEDIANTE OFICIO N° 000066-2025-MINEDU/VMGI-PRONIED-UGSC (17.02.2025) SE COMUNICA A LA ENTIDAD EL INCUMPLIMIENTO DE REGISTRO DE INFORMACIÓN Y CIERRE DEL PI EN EL BANCO DE INVERSIONES. MEDIANTE OFICIO N° 001445-2025-MINEDU/VMGI-PRONIED-UGSC (25.08.2025) SE COMUNICA AL OCI DE LA ENTIDAD EL INCUMPLIMIENTO DE REGISTRO DE INFORMACIÓN Y CIERRE DEL PI EN EL BANCO DE INVERSIONES A PESAR DE HABERSELE NOTIFICADO Y OTORGADO PLAZO PARA DICHO EFECTO, MEDIANTE EL OFICIO N° 000066-2025-MINEDU/VMGI-PRONIED-UGSC (17.02.2025).</t>
  </si>
  <si>
    <t>PI CONSTA DE OBRA PRINCIPAL Y 3 OBRAS COMPLEMENTARIAS, SIENDO QUE:
- OBRA PRINCIPAL: OBRA CULMINADA (2019), RECEPCIONADA (2019) .
- OBRA COMPLEMENTARIA I: OBRA CULMINADA (2021), RECEPCIONADA (2021) Y CUENTA CON LIQUIDACION DE OBRA APROBADA (2021).
- OBRA COMPLEMENTARIA II: OBRA CULMINADA (2022), RECEPCIONADA (2022) Y CUENTA CON LIQUIDACION DE OBRA APROBADA MEDIANTE R.A. N° 109-2023-A-MPR (2023) Y LIQUIDACION DE SUPERVISION DE OBRA APROBADA MEDIANTE R.A. N°144-2023-A/MPR
- OBRA COMPLEMENTARIA III: OBRA CULMINADA (2023), RECEPCIONADA (2024) Y CUENTA CON LIQUIDACION DE OBRA APROBADA MEDIANTE R.G. N° 024-2024-GI/MPR (2024).
MEDIANTE OFICIO N° 169-2025-A/MPR (16.04.2025) LA ENTIDAD INFORMA QUE SE VIENE REALIZANDO UN EXPEDIENTE TECNICO ACORDE A NECESIDAD ENCONTRADA EN VISITA TECNICA PERO NO DETALLA CUAL ES LA NECESIDAD NI EN QUÉ CONSISTE ESTA ELABORACION DE ET.
MEDIANTE OFICIO N° 001243-2025-MINEDU/VMGI-PRONIED-UGSC (31.07.2025) SE COMUNICA AL OCI DE LA ENTIDAD EL INCUMPLIMIENTO DE REGISTRO DE INFORMACIÓN Y CIERRE DEL PI EN EL BANCO DE INVERSIONES A PESAR DE HABERSELE NOTIFICADO Y OTORGADO PLAZO PARA DICHO EFECTO, MEDIANTE EL OFICIO N° 000375-2025-MINEDU/VMGI-PRONIED-UGSC (16.04.2025).</t>
  </si>
  <si>
    <t>LIQUIDACIÓN DE OBRA
INICIO DE OBRA: 30/10/2018 - FECHA REAL DE TÉRMINO DEL PROYECTO 26/12/2019  - ACTA DE RECEPCIÓN DE OBRA 09/03/2020
LIQUIDACIÓN DE OBRA: RESOLUCIÓN DE ALCALDÍA NRO 543-2020-MPP/A (16/12/2020), CORREGIDO CON FE DE ERRATAS: RESOLUCIÓN DE ALCALDÍA NRO 293-2023-MPP/A (26/04/2023)
LIQUIDACIÓN DE SUPERVISIÓN: RESOLUCIÓN DE ALCALDÍA N 104-2021-MPP/A (03/03/2021)
UEI INDICA EN PROCESO PAGO A CONTRATISTA Y POSTERIORMENTE REALIZARÁN CIERRE DE PI
DESDE LA UGSC SE HA REMITIDO EL 10/09/2025, EL OFICIO N° 1632-2025-MINEDU-VMGI-PRONIED-UGSC A LA OCI DE LA MP PACHITEA, COMUNICANDO EL INCUMPLIMIENTO DE REGISTRO DE INFORMACIÓN Y CIERRE DEL PROYECTO DE INVERSIÓN CON CUI Nº 2339292, A CARGO DE LA MENCIONADA MUNICIPALIDAD</t>
  </si>
  <si>
    <t xml:space="preserve">LIIQUIDACIÓN DE OBRA - SALDO DE OBRA
OBRA COMPLEMENTARIA: COBERTURA 
OBRA PRINCIPAL_INICIO DE OBRA: 17/01/2019 - NUEVA FECHA CULMINACIÓN: 10/12/2019
RESOLUCION DE ALCALDIA Nº 135-2020-MDPM/A (09-03-2020): RESUELVE CONTRATO DE EJECUCIÓN DE OBRA SUSCRITO EL 26/12/2018 
SALDO DE OBRA_EXPEDIENTE TÉCNICO DE SALDO DE OBRA APROBADO A TRAVÉS DE RESOLUCIÓN DE GERENCIA MUNICIPAL Nº 200-2024-MDPM/GM (10/05/2024) POR UN MONTO DE S/ 413,923,38
CONTRATO DE EJECUCIÓN DE OBRA SUSCRITO: 07/11/2024 - CULMINACIÓN 31/12/2024 - RECEPCIÓN: 07/02/2025
LIQUIDACIÓN DE OBRA: RESOLUCIÓN DE GERENCIA MUNICIPAL 225-2025-MDPM/GM (26/05/2025)
OBRA COMPLEMENTARIA (COBERTURA)  INICIO DE OBRA: 05/08/2025, PLAZO DE EJECUCIÓN: 60DC, TERMINO CONTRACTUAL 03/10/2025 - TERMINO REAL: 30/09/2025
EN PROCESO DE RECEPCIÓN </t>
  </si>
  <si>
    <t>RECEPCION DE OBRA
OBRA CULMINADA 04/04/2022, RECEPCIONADA: COMPONENTE 01: 30/05/2022, COMPONENTE 02: 27/05/2022, COMPONENTE 03, 04, 05, 06 Y 07: 22/06/2022
UEI REGISTRA EN BANCO DE INVERSIONES, QUE EL PROYECTO SE ENCUENTRA EN LA FASE DE LIQUIDACION, ENCONTRÁNDOSE LA INFORMACIÓN EN EL ÁREA DE LIQUIDACIONES DE INVERSIONES, SIN EMBARGO LA MUNICIPALIDAD NO HA REMITIDO INFORMACIÓN DE SUSTENTO A PRONIED
MEDIANTE OFICIO N° 000585-2025-MINEDU-VMGI-PRONIED-UGSC (28.04.2025) SE SOLICITA EL INFORME SITUACIONAL MENSUAL SOBRE LA EJECUCIÓN DEL PROYECTO Y EL USO DE LOS RECURSOS TRANSFERIDOS
MEDIANTE OFICIO N° 000905-2025-MINEDU-VMGI-PRONIED-UGSC (10.06.2025) SE LE REITERA A LA MD REMITIR LO SOLICITADO.</t>
  </si>
  <si>
    <t>2019</t>
  </si>
  <si>
    <t>OBRA CULMINADA (11.01.2022), RECEPCIONADA (28.02.2022) Y CUENTA CON LIQUIDACIÓN DE CONTRATO DE EJECUCIÓN DE OBRA APROBADA MEDIANTE R.A. N 139-2022-MDNP/A (15.12.2022).
UEI NO HA INFORMADO EL ESTADO DE LA LIQUIDACION DE LA SUPERVISION DE OBRA.
MEDIANTE OFICIO N° 000969-2025-MINEDU/VMGI-PRONIED-UGSC (23.06.2025) SE COMUNICA AL OCI DE LA ENTIDAD EL INCUMPLIMIENTO DE REGISTRO DE INFORMACIÓN Y CIERRE DEL PI EN EL BANCO DE INVERSIONES A PESAR DE HABERSELE NOTIFICADO Y OTORGADO PLAZO PARA DICHO EFECTO, MEDIANTE EL OFICIO N° 000685-2024-MINEDU/VMGI-PRONIED-UGSC (23.12.2024).</t>
  </si>
  <si>
    <t>OBRA CULMINADA (29.07.2022) Y RECEPCIONADA (12.10.2022) Y CUENTA CON LIQUIDACIÓN DE OBRA R.G. N° 072-2022-MDNP/GM CON SALDO A FAVOR DEL CONTRATISTA DE S/ 1,273,161,28 (15.12.2022).
CON FECHA 19.12.2024, UEI HA REGISTRADO EN SU FORMATO N° 12-B QUE SE ENCUENTRA PENDIENTE REALIZAR PAGOS A LA SUPERVISION. CABE MENCIONAR QUE PI HA SIDO FINANCIADO EN SU TOTALIDAD.
MEDIANTE OFICIO N° 000969-2025-MINEDU/VMGI-PRONIED-UGSC (23.06.2025) SE COMUNICA AL OCI DE LA ENTIDAD EL INCUMPLIMIENTO DE REGISTRO DE INFORMACIÓN Y CIERRE DEL PI EN EL BANCO DE INVERSIONES A PESAR DE HABERSELE NOTIFICADO Y OTORGADO PLAZO PARA DICHO EFECTO, MEDIANTE EL OFICIO N° 000685-2024-MINEDU/VMGI-PRONIED-UGSC (23.12.2024).</t>
  </si>
  <si>
    <t>LIQUIDACIÓN DE OBRA
LA OBRA SE ENCUENTRA CULMINADA (10/05/2021) Y RECEPCIONADO (23/08/2021). SE CUENTA CON LA RESOLUCIÓN DE ALCALDÍA Nº 066-2022-MDV/A CON FECHA 15/02/2022 DE LA LIQUIDACIÓN DE EJECUCIÓN Y LA RESOLUCIÓN DE ALCALDÍA N° 143-202-MDV/A  CON FECHA 23/03/2022 PERTENECIENTE A LA CONSULTORIA DE SUPERVISIÓN. LA UEI INFORMA QUE SE ESTAN REALIZANDO GESTIONES CON LA UGEL PARA EL ACTA DE TRANSFERENCIA Y TIENE PENDIENTE EL CIERRE DEL PROYECTO.
SE NOTIFICÓ MEDIANTE  CORREO ELECTRÓNICO AL ORGANO DE CONTROL INTERNO DE LA MD HUAMANGA  Y CONTRALORIA CON FECHA 29/08/2025, EL OFICIO N°  1496-2025-MINEDU-VMGI-PRONIED-UGSC DONDE SE COMUNICA INCUMPLIMIENTO DE REGISTRO DE INFORMACIÓN Y CIERRE DEL PROYECTO INVERSIÓN CON CUI N° 2319212, A CARGO DE LA MUNICIPALIDAD DISTRITAL DE VINCHOS.</t>
  </si>
  <si>
    <t xml:space="preserve">INF UZ 11/05/23_OBRA CULMINADA, LIQUIDACION DE OBRA SOMETIDA A CONTROVERSIA, CON LAUDO ABITRAL A FAVOR DE LA UEI
ETAPA I: INICIO 20/11/2018, CULMINACION 17/08/2020
ETAPA II: INICIO 23/12/2019, CULMINACION 11/09/2020
SE OBSERVA FILTRACION DE AGUAS PLUVIALES OCASIONADOS POR EL CANAL DE EVACUACION EN EL CIELO RASO DEL PAB B Y AMBIENTE DE COMPUTO, TOMACORRIENTE DAÑADO EN EL AREA ADMINISTRATIVA LO QUE GENERA FALTA DE FUNCIONAMIENTO DEL SERVICIO ELECTRICO EN LA BIBLIOTECA, FILTRACION DE AGUA EN MURO DE LA SECREATRIA POR IISS.
</t>
  </si>
  <si>
    <t xml:space="preserve">LIQUIDACIÓN DE OBRA
INICIO DE OBRA: 22/11/2019 - OBRA CULMINÓ EL 28/03/2021. 
RECECPIÓN DE OBRA: 27/04/2021 
LIQUIDACIÓN TÉCNICA Y FINANCIERA DE EJECUCIÓN DE OBRA: RESOLUCIÓN DE ALCALDÍA N° 312-2021-MPPA (03/08/2021). 
PENDIENTE QUE UEI REALICE LIQUIDACIÓN DE SUPERVISIÓN DE OBRA
DESDE LA UGSC SE HA REMITIDO EL 05/08/2025, EL OFICIO N° 1300-2025-MINEDU-VMGI-PRONIED-UGSC A LA OCI DE LA MP PACHITEA, COMUNICANDO EL INCUMPLIMIENTO DE REGISTRO DE INFORMACIÓN Y CIERRE DEL PROYECTO DE INVERSIÓN CON CUI Nº 2337979, A CARGO DE LA MENCIONADA MUNICIPALIDAD </t>
  </si>
  <si>
    <t>LIQUIDACIÓN DE OBRA
LA OBRA SE ENCUENTRA CULMINADA (15/06/2021) Y RECEPCIONADO (03/09/2021). SE CUENTA CON LA RESOLUCIÓN DE ALCALDÍA Nº 088-2022-MDV/A  CON FECHA 23/02/2022 DE LA LIQUIDACIÓN DE EJECUCIÓN Y LA RESOLUCIÓN DE ALCALDÍA Nº 127-2022-MDV/A CON FECHA 14/03/2022. LA UEI INFORMA QUE SE ESTAN REALIZANDO GESTIONES CON LA UGEL PARA EL ACTA DE TRANSFERENCIA Y TIENE PENDIENTE EL CIERRE DEL PROYECTO.
SE NOTIFICÓ MEDIANTE  CORREO ELECTRÓNICO AL ORGANO DE CONTROL INTERNO DE LA MD HUAMANGA Y CONTRALORIA CON FECHA 02/09/2025, EL OFICIO N°  1518-2025-MINEDU-VMGI-PRONIED-UGSC DONDE SE COMUNICA INCUMPLIMIENTO DE REGISTRO DE INFORMACIÓN Y CIERRE DEL PROYECTO INVERSIÓN CON CUI N° 2308319, A CARGO DE LA MUNICIPALIDAD DISTRITAL DE VINCHOS.</t>
  </si>
  <si>
    <t xml:space="preserve">OBRA RECEPCIONADA
INICIO DE OBRA: 26/12/2019, EJECUCIÓN 300 DC, FECHA DE TERMINO CONTRACTUAL: 20/10/2020, TUVO 02 ADICIONALES (RA N° 029-2020-MDO/A)
LA OBRA SE ENCUENTRA CULMINADA (25/04/2021) Y RECEPCIONADA (07/07/2021),TIENE UN AVANCE FÍSICO AL 100% Y UN AVANCE FINANCIERO ACUMULADO AL 99,1%. LA OBRA FUE INAUGURADA (23/8/2024-25/08/2021), MEDIANTE RESOLUCIÓN DE ALCALDÍA N° 320-2021-MDO/A (29/11/2021)  SE APRUEBA LA LIQUIDACIÓN DE EJECUCIÓN DE OBRA. MEDIANTE OFICIO N° 223-2025-MDO-ALC/MJDH (24/06/2025), EL CUAL TRASLADA EL INFORME N° 15-2025-NDO/SGIDUR-YIR (24/06/2025) SE INDICA QUE LA LIQUIDACIÓN DE LA SUPERVISIÓN SE ENCUENTRA EN PROCESO Y SE TIENE PENDIENTE LA ACTA DE TRANSFERENCIA Y CIERRE DE PROYECTO CON FORMATO N° 9.
</t>
  </si>
  <si>
    <t>OBRA CULMINADA (2021), RECEPCIONADA (2021) Y CUENTA CON LIQUIDACION DE CONTRATO DE EJECUCION DE OBRA APROBADA MEDIANTE R.G. N° 001-2022-LIQ/MDCH CON SALDO A FAVOR DEL CONTRATISTA DE S/ 123,539.88
MEDIANTE LLAMADA TELEFONICA (11.07.2024) LA ENTIDAD INFORMA QUE SOLO TIENEN UN PAGO PENDIENTE DE 89K A LA SUPERVISION DE LA OBRA, EL CUAL EFECTUARAN Y POSTERIORMENTE CERRARAN EL PROYECTO EN BANCO DE INVERSIONES.
 A LA FECHA TIENE UN PIM DE S/ 102,918.00
MEDIANTE LLAMADA TELEFONICA (05/06/2025) LA ENTIDAD POR MEDIO DE LA GERENCIA DE PRESUPUESTO INFORMA QUE YA SE LE PAGO EL TOTAL A  SUPERVISION POR LO QUE YA SE PUEDE SEGUIR CON EL TRAMITE CORRESPONDIENTE.</t>
  </si>
  <si>
    <t>DS N° 151-2021 
(ANEXO 01 Y 03)</t>
  </si>
  <si>
    <t xml:space="preserve">RECEPCION DE OBRA
FECHA APROBRACION ET - 30/04/21
POSTOR EJECUTOR - CONSTRUCTORA E INVERSIONES GIAN E.I.R.L. MONTO POR S/9, 321,275.91
POSTOR SUPERVISION - GRUPO JICA INGENIERIA Y CONSTRUCCION S.A.C. MONTO POR S/360,733.38
INICIO DE OBRA: 15/12/21 
PLAZO:300 DC -
Suspensión de Plazo : 14 DÍAS CALENDARIOS (a partir del 21/01/ 2022
Ampliación de Plazo : 30 DÍAS CALENDARIOS
Fecha Término Reprogramada : 22 DE NOVIEMBRE DEL 2022
Fecha Real de Término : 30 DE ENERO DEL 2023
OBRA INAUGURADA: 17/08/2023
PROCESO ARBITRAL CONTINUA EN CURSO, SEGÚN EL EXPEDIENTE ARBITRAL N° 0010-2023-0-CAP-CCPP DE FECHA 17.NOV.2023, SE INICIA EL PROCEDIMIENTO ARBITRAL, DONDE EL DEMANDANTE LA CONSTRUCTORA E INVERSIONES GIAN E.I.R.L., HACE ALCANCE DE SUS PETITORIOS; EN RESPUESTA A ELLO, LA ENTIDAD MEDIANTE EL ÁREA USUARIA, LA GERENTE DE INFRAESTRUCTURA Y DESARROLLO URBANO RURAL, EMITE EL INFORME N° 2644-2023-MPA/GIDUR-YFAM DE FECHA 05.DIC.2023, DONDE SE DETALLA Y DOCUMENTA ACERCA DE LAS PRETENSIONES DEL DEMANDANTE.
VISITA DE MONITOR ZONAL DE FECHA 28 DE ABRIL DEL 2025 IDENTIFICA DEFICIENCIAS EN EL FUNCIONAMIENTO DE LA INFRAESTRUCTURA. SE NOTIFICA A LA UEI PARA QUE REALICE LAS GESTIONES Y/O ACCIONES CORRECTIVAS QUE PERMITAN LA ADECUADA EJECUCIÓN DE OBRA.
</t>
  </si>
  <si>
    <t>ESTADO SITUACIONAL F12B 05/04/23_LA OBRA ESTA FINALIZADA.
LA OBRA TIENE FECHA DE RECEPCION 24 DE FEBRERO 2020, QUEDA PENDIENTE LA LIQUIDACION  Y CIERRE DEL PROYECTO
28/10/2025 DESDE LA UGSC, SE HA REMITIDO  A LA UEI EL 03/10/2025 EL OFICIO N° 01795-2025-MINEDU/VMGI-PRONIED-UGSC (I-013887-2025), SOLICITUD DE REMISIÓN DEL ESTADO SITUACIONAL DEL PI. PENDIENTE QUE LA UEI REMITA INFORME, SIN RESPUESTA D ELA UEI.
30/07/2025 DESDE LA UGSC, SE HA REMITIDO  A LA UEI EL 25/07/2025 EL OFICIO N° 01258-2025-MINEDU/VMGI-PRONIED-UGSC (I-013887-2025
V-1), SOLICITUD DE REMISIÓN DEL ESTADO SITUACIONAL DEL PI. PENDIENTE QUE LA UEI REMITA INFORME</t>
  </si>
  <si>
    <t xml:space="preserve">LIQUIDACIÓN DE OBRA
LA OBRA SE ENCUENTRA CULMINADA (13/12/2022) Y RECEPCIONADA (15/12/2022) Y LIQUIDADA (2022). TIENE UN AVANCE FÍSICO AL 100%. CUENTA CON LA RESOLUCIÓN DE ALCALDÍA, N° 243-2022-MDCH-LM/A  DE LA LIQUIDACIÓN DE LA OBRA Y LA RESOLUCIÓN DE ALCALDIA N° 244-2022-MDCH.LM/A DE LA LIQUIDACIÓN DE SUPERVISIÓN (28.12.2022). 
MEDIANTE INFORME N° 266-2025-MDCH-SGIOP/MCG (24/06/2025) SE ESTA REMITIENDO LA DOCUMENTACIÓN SUSTENTATORIA DEL ESTADO DEL PROYECTO, LA UEI HA REMITIDO LAS ACTAS DE ENTREGA DE TERRENO, ACTA DE INICIO, RESOLUCIONES DE ADICIONALES DEDUCTIVOS, AMPLIACIÓN DE PLAZO, SUSTITUCIÓN DE RESIDENTE Y PLANES DE MANEJO AMBIENTAL, SEGURIDAD Y SALUD, PLAN DE VIGILANCIAS. SIN EMBARGO, NO HA INFORMADO RESPECTO A LA TRANSFERENCIA A LA UGEL O ACCIONES PARA EL CIERRE DEL PROYECTO.
SE NOTIFICÓ MEDIANTE CORRE ELÉCTRONICO A LA OCI DE LA MUNICIPALIDAD PROVINCIAL DE LA MAR CON FECHA 12/11/2025, EL OFICIO N° 2146-2025-MINEDU/VMGI-PRONIED-UGSC DONDE SE INFORMA AL ORGANO DE CONTROL INTERNO EL INCUMPLIMIENTO DE REGISTRO DE INFORMACIÓN Y CIERRE DEL PROYECTO DE INVERSIÓN CON CUI 2236066, A CARGO DE LA MUNICIPALIDAD DISTRITAL DE CHUNGUI.
</t>
  </si>
  <si>
    <t>CONTRATO RESUELTO - ATRASADA
INICIO DE OBRA: 12/07/2022
PLAZO CONTRACTUAL: 466 DC
TERMIO REPROGRAMADO: 19/07/2024
EL 23-12-2025, MEDIANTE EXPEDIENTE E-042736-2025, LA MD DE TAPAIRIHUA REMITE EL OFICIO 523 -2025-A-MDT-AYMARAES-APU, EN RESPUESTA AL OFICIO 2261-2025 UGSC SOBRE SOLICITUD DE INFORME SITUACIONAL. CON EL CUAL REMITE EL ACTA DE CONCILIACION DE 10-11-2025, LA CUAL ARRIBO A LOS SIGUIENTES ACUERDOS CONCILIATORIOS: *LA MD RECONOCE LA RESOLUCION DEL CONTRATO INICIADA POR EL CONTARTISTA CON CARTA 120-2024. *LA MD, UNA VEZ RECIBIDO LOS BIENES QUE FORMAN PARTE DEL CONTRATO Y CONSTATCION DEL FUNCIONAMIENTO, EN UN PLAZO DE 5 DIAS PROCEDERA A LA DEVOLUCION DE LA CARTA DE GARANTIA.
10-12-2025 MEDIANTE EXPEDIENTE I-031831-2025, LA UZ DE APURIMAC REMITE EL INFORME 173-2025 -UZCU, DE LA VISITA DE OBRA DE FECHA 28-11-2025:
*PLAN DE CONTINGENCIA: NO SE EJECUTO, PERO SE REALIZO EL DEDUDCTIVO VINCULANTE, LOS ESTUDIANTES ESTUVIERON EN LA INFRAESTRUCTURA EXISTENTE PRIMARIA, QUE SE ENCUENTRA EN REULAR ESTADO.
*LA OBRA SE ENCUENTRA PARALIZADA Y EN PROCESO ARBITRAL
*RECOMIENDA: QUE LA CONFORMIDAD DE RECEPCION SE DE CUANDO SE CUMPLAN CON LAS CONDICIONES TECNICAS PACTADAS. ASIMISMO, SE COMUNIQUE A LA OCI A FIN DE QUE TOME ACCIONES CORRESPONDIENTES.
MEDIANTE OFICIO 207-2025 DE LA MD DE TAPAIRIHUA DE 04/06/2025 (EXPEDIENTE: E-018297-2025):
*SE REALIZO LA CONSTATACION FISICA EL 13 y 14/052025, LOS COMPONENTES EVALUADOS FUERON ARQUITECTURA, I.ELCT., SANIT. Y EQUIPAMIENTO.
*SUSCRIBIERON EL ACTA DE CONSTACION FISICA EL COMITE DE RECEPCION Y LA EMPRESA GELI SAC.
*MEDIANTE CARTA 090-2025-GG-GELI HG DE 20/05/2025, SE HACE ENTREGA DE LAS LLAVES DE LAS IE.
*RECOMIENDA REALIZAR LA ELABORCION DEL EXPED. DEL SALDO DE OBRA, TENIENDO EN CONSIDERACION LA SITUACION ACTUAL DE LAS DIFRERNTS SPECIALIDADES.
Y PROCEDER A A RETENCION DE LAS ACARTAS FIANZASCON EL FIN DE SALVAGUARDAR LOS RECURSOS DEL ESTADO.
AVANCE FISICO ACUMULADO AL MES DE JULIO 98.48% VS PROGRAMADO 100%
OBRAS SE ENCUENTRAN EN UN PROCESO DE ARBITRAJE ENTRE LA MUNICIPALIDAD Y EL CONTRATISTA GELI SAC
SE EVIDENCIA UN PRONUNCIADO DESNIVEL ENTRE LA VIA DE CIRCULACION Y EL INGRESO A LA IE EN EL NIVEL SECUNDARIO, A LA FECHA NO SE CUENTA CON UN PLANTEAMIENTO DE ACCESIBILIDAD.
.</t>
  </si>
  <si>
    <t>LIQUIDACIÓN DE OBRA
INICIO DE OBRA 05.09.2022 -PLAZO DE EJECUCIÓN 420 DC
FECHA CULMINACIÓN CONTRACTUAL: 29/10/2023 - CULMINACIÓN:  02/06/2024 (SE DIO CULMINACIÓN, SIN DESMONTAJE DE PLAN DE CONTINGENCIA, LO INDICADO POR LA SUPERVISIÓN FUE QUE SERÁ DESMONTADO ANTES DE LA PRESENTACIÓN DE LA LIQUIDACIÓN) - ACTA RECEPCIÓN 22/08/2024 - INAUGURACIÓN DE IE: 16/09/2024
 ACTA DE ENTREGA DE MOBILIARIO Y EQUIPAMIENTO (22/08/2024) 
ACTA DE ENTREGA Y RECEPCIÓN DE INFRAESTRUCTURA, MOBILIARIO Y EQUIPAMIENTO A UGEL PIURA 16/09/2024
 LIQUIDACIÓN DE CONTRATO DE OBRA: RESOLUCIÓN DE LA GERENCIA DE DESARROLLO URBANO Nº 0260-2024-MDVO/GDU (12/11/2024) 
LIQUIDACIÓN FINAL DE SERVICIO DE CONSULTORÍA PARA LA SUPERVISIÓN: RESOLUCIÓN N°023-2025-MDVO/GDU (14/02/2025) 
DESDE LA UGSC SE HA REMITIDO EL 19/06/2025, EL OFICIO N° 953-2025-MINEDU-VMGI-PRONIED-UGSC A LA OCI DE LA MD VEINTISEIS DE OCTUBRE, COMUNICANDO EL INCUMPLIMIENTO DE REGISTRO DE INFORMACIÓN Y CIERRE DEL PROYECTO DE INVERSIÓN CON CUI Nº 2300910, A CARGO DE LA MENCIONADA MUNICIPALIDAD</t>
  </si>
  <si>
    <t xml:space="preserve">LIQUIDACIÓN DE OBRA
IE  14028: INICIO DE OBRA 14/03/2022- PLAZO DE EJECUCION 120 DIAS
FECHA CULMINACIÓN CONTRACTUAL 16/07/2022- ACTA DE RECEPCION DE FECHA 27/07/2022
LIQUIDACIÓN CONTRATO DE OBRA: RESOLUCIÓN GERENCIA MUNICIPAL Nº130-2022-MDB/GM
IE  14999: INICIO DE OBRA 01/02/2022 - PLAZO DE EJECUCION 120 DIAS
FECHA DE CULMINACIÓN 16/08/2022 - ACTA DE RECEPCIÓN DE FECHA 26/08/2022
LIQUIDACIÓN CONTRATO DE OBRA: RESOLUCIÓN GERENCIA MUNICIPAL  Nº111-2022-MDB/GM
IE  15280: INICIO DE OBRA 01/02/2022 - PLAZO DE EJECUCION 120 DIAS -
FECHA DE CULMINACIÓN 14/06/2022  ACTA DE RECEPCIÓN DE FECHA 12/07/2022
LIQUIDACIÓN CONTRATO DE OBRA: RESOLUCIÓN GERENCIA MUNICIPAL Nº108-2022-MDB/GM
IE  20136: INICIO DE OBRA 12/01/2022 - PLAZO DE EJECUCION 120 DIAS
FECHA DE CULMINACIÓN 08/12/2022 -  ACTA DE RECEPCIÓN 08/07/2023
LIQUIDACIÓN CONTRATO DE OBRA: RESOLUCIÓN DE ALCALDÍA 452-2023-MDB/GM
PENDIENTE DE LIQUIDACIÓN DE SUPERVISIÓN DE OBRA EN RELACIÓN A OBRA DE IE 20136 Y TRANSFERENCIA DE IIEE A UGEL </t>
  </si>
  <si>
    <t>PARALIZADA
FECHA DE INICIO: 11/05/2022 - PLAZO DE EJECUCIÓN  360 DC
FECHA DE CULMINACIÓN CONTRACTUAL: 05/05/2023 - CULMINACIÓN PROGRAMADA: 31/08/2025 
PRESENTA UN AVANCE EJECUTADO ACUMULADO 79,03% VS UN ACUMULADO PROGRAMADO 87,49% AL MES DE JULIO
MEDIANTE OFICIO N°021-2026-GDUYR-MPP (02/03/2026) LA MUNICIPALIDAD, INDICA QUE LA RESOLUCIÓN DE CONTRATO DE EJECUCIÓN DE OBRA, SE ENCUENTRA EN PROCESO DE ARBITRAJE, POR LO QUE LA RESOLUCIÓN NO ESTÁ CONSENTIDA. ESTANDO PENDIENTE LA DECISIÓN FINAL DEL LAUDO ARBITRAL Y LA REALIZACIÓN DE LA LIQUIDACIÓN TECNICA FINANCIERA DEL CONTRATO DE OBRA. LA CONSTATACIÓN FÍSICA DE OBRA E INVENTARIO, SE REALIZARON LOS DÍAS 06/11/2025, 07/11/2025 Y 12/01/2026 
LA SUBGERENCIA DE OBRAS, REMITIÓ OPINIÓN TÉCNICA DE REALIZAR LAS GESTIONES ANTE LA UGEL DE PAITA PARA QUE INICIEN LAS ACCIONES DE BUSQUEDA Y ACONDICIONAMIENTO DE NUEVO LOCAL PARA EL AÑO ESCOLAR 2026.
MEIDANTE OFICIO N°243-2025-MPP/ALC, LA MUNICIPALIDAD INFORMA QUE LOS MODULOS TEMPORALES SE ENCUENTRAN DENTRO DE LAS INSTALACIONES DE LA IE ELISEO ALCIDES BERNAL SERNA, UBICADA EN LA ZONA BAJA DE PAITA. LA INFRAESTRUCTURA PROVISIONAL ESTÁ CONFORMADA POR I)MÓDULOS PARA PROFESORES, LA DIRECCIÓN, TRES MÓDULOS Y MODULO CON TRES AULAS PARA NIVEL INICIAL. II) AULAS ALTERNAS. III) USO COMPARTIDO, LAS AULAS SON UTILIZADAS EN DOBLE TURNO POR LA MAÑANA PRIMARIA Y POR LA TARDE SECUNDARIA. 
MEDIANTE OFICIO N° 002178-2025-MINEDU-VMGI-PRONIED-UGSC, SE COMUNICO A LA OCI DE LA MP PAITA SOBRE PARALIZACIÓN DE OBRA</t>
  </si>
  <si>
    <t xml:space="preserve">LIQUIDACIÓN DE OBRA
INICIO LA OBRA_03/02/2022  - PLAZO CONTRACTUAL_150 DC .
FECHA DE CULMINACION CONTRACTUAL: 05/01/2024 - ACTA RECEPCIÓN DE OBRA: 04/04/2024
LIQUIDACIÓN DE OBRA: RESOLUCIÓN DE ALCALDÍA N° 0050-2024-MDC/A (07/10/2024)
*A TRAVÉS DE INFORME °647-2025-MINEDU-VMGI-PRONIED-UZHU (25/09/2025), A TRAVÉS DE CUAL TRASLADA INFORME DE MONITOR ZONAL, QUIEN INDICA QUE SUB GERENTE DE INFRAESTRUCTURA Y OBRA DE LA MD, LE ENVIÓ: CERTIFICADO DE CONFORMIDAD DE OBRA, RESOLUCIÓN DE NOMBRAMIENTO DE COMITÉ DE RECEPCIÓN, ACTA DE RECEPCIÓN DE OBRA Y RESOLUCIÓN DE LIQUIDACIÓN DE OBRA
*DESDE LA UGSC, EL 15/07/2025 SE REMITE A LA MUNICIPALIDAD EL OFICIO N° 1182-2025-MINEDU-VMGI-PRONIED-UGSC, REITERANDO LA SOLICITUD DE ENVÍO DE INFORME SITUACIONAL DEL PI DE MANERA MENSUAL, ASÍ COMO EL ENVÍO DE INFORME EN UN PLAZO DE 05 DÍAS HÁBILES DE RECIBIDO EL DOCUMENTO. 
*DESDE LA UGSC, SE HA REMITIDO A LA OCI DE LA MP YAROWILCA, EL OFICIO N° 001617-2025-MINEDU-VMGI-PRONIED-UGSC, A TRAVÉS DEL CUAL,SE COMUNICA EL INCUMPLIMIENTO DEL CONVENIO Nº 030-2022-MINEDU EN RELACIÓN AL PROYECTO DE INVERSIÓN CON CUI N° 2293263, A CARGO DE LA MUNICIPALIDAD DISTRITAL DE CAHUAC
</t>
  </si>
  <si>
    <t>OBRA CON CONTRATO RESUELTO NOV 2023.
SALDO DE OBRA CULMINADA - AD (12.07.2024) Y RECEPCIONADA (JUL 2025).
MEDIANTE OFICIO N° 002214-2025-MINEDU-VMGI-PRONIED-UGSC (18.11.2025) SE COMUNICA A LA ENTIDAD EL INCUMPLIMIENTO DE REGISTRO DE INFORMACIÓN Y CIERRE DEL PI EN EL BANCO DE INVERSIONES.
AL RESPECTO,MEDIANTE OFICIO N° 157-2025-MDTD/GM (04.12.2025), LA UEI INFORMA QUE CON FECHA 17 NOV 2025 SE HA REALIZADO LA CONTRATACION PARA LA ELABORACION DE LA LIQUIDACION TECNICA FINANCIERA DEL PI Y SE PROYECTA CUMPLIR CON DICHO DOCUMENTO EL 15 ENE 2026 Y CERRAR EL PI EN EL BANCO DE INVERSIONES EN FEB 2026.
MEDIANTE OFICIO N° 001894-2025-MINEDU/VMGI-PRONIED-UGSC (15.10.2025) SE TRASLADA LAS OBSERVACIONES PREVIAMENTE REPORTADAS A LA UEI Y SE REITERA LA SOLICITUD DE INFORMACION.
AL RESPECTO, MEDIANTE OFICIO N° 266-2025-MDTD/A (03.11.2025) INFORMA LO SIGUIENTE:
I ETAPA SALDO I (CARPINTERIA E INSTALACIONES ELECTRICAS): CULMINO EL 20 FEB 2024, RECEPCIONADA EL 24 FEB 2024
II ETAPA SALDO I (TARRAJEO, ZOCALO, CARPINTERIA, PINTURA, LIMPIEZA, INSTALACIONES SANITARIA, ETC.): CULMINO EL 12 JUL 2024, RECEPCIONADA EL 14 AGO 2024
III ETAPA SALDO I: CORRESPONDIENTE A PARTE DEL EQUIPAMIENTO Y MOBILIARIO: CULMINO EL 13 JUN 2025, RECEPCIONADA EL 17 JUL 2025
SIN EMBARGO, NO SE PRONUNCIA SOBRE LAS OBSERVACIONES REALIZADAS POR LA UZ JUNIN.
MEDIANTE INFORME N° 000952-2025-MINEDU-VMGI-PRONIED-UZJU (07.10.2025) LA UZ JUNIN REPORTA QUE EN VISITA DEL 25 SET 2025 VERIFICO QUE LA IE  SE ENCUENTRA EN USO A PESAR DE NO CONTAR CON DOCUMENTO FORMAL DE ENTREGA. ASIMISMO MONITOR REPORTA LAS SIGUIENTES OBSERVACIONES:
- NO SE ENCUENTRA INSTALADO TUBO DE ABASTO DE UN LAVATORIO DE LOS SS.HH.
- EL SUMIDERO DE UN LAVATORIO ESTA AVERIADO
- CAJA DE REGISTRO SE ENCUENTRA COLMATADO Y NO EVACUA EL DESAGÜE DE LOS BAÑOS ADECUADAMENTE
POR OTRO LADO, LA DIRECTORA DE LA IE INDICA LO SIGUIENTE:
- LA UEI ESTÁ REALIZANDO EL CAMBIO DE GRIFERIAS MALOGRADAS
- EXISTEN FILTRACIONES DE AGUA DE LLUVIAS DE LA COBERTURA POR LAS JUNTAS DE DILATACION ESTRUCTURALES.</t>
  </si>
  <si>
    <t>LIQUIDACION DE OBRA
OBRA CULMINADA (20.11.2023), RECEPCIONADA (13.12.2023) Y CUENTA CON LIQUIDACION DE CONTRATO DE EJECUCION DE OBRA APROBADA MEDIANTE RESOLUCION GERENCIAL N° 000076-2024-MDP/GDTI POR EL MONTO DE S/ 13,971,313.93 CON UN SALDO A FAVOR DEL CONTRATISTA DE S/ 926,031.56 (08.04.2024).
MEDIANTE OFICIO N° 861-2024-MDP/A (03.12.2024) LA MD PIMENTEL INFORMA QUE SE CUENTA CON LA LIQUIDACION DE LA SUPERVISION DE 
OBRA APROBADA MEDIANTE R.G. N° 131-2024-MDP/GDTI CON UN SALDO A FAVOR DEL CONTRATISTA DE S/ 33,583.25.
AL RESPECTO, MEDIANTE CORREO ELECTRONICO (11.12.2024) SE LE SOLICITO A LA MD INFORMAR LO SIGUIENTE:
- GESTIÓN DE USO DE LOS RECURSOS TRANSFERIDOS MEDIANTE EL DECRETO SUPREMO N° 240-2024-EF
- ESTADO ACTUAL DE SISTEMA DE ENERGÍA TRIFÁSICA
- GESTIONES PARA EL CIERRE DE PROYECTO EN EL BANCO DE INVERSIONES.
MEDIANTE CORREO ELECTRONICO (03.12.2024) SE HA REMITIDO EL OFICIO N° 000597-2024-MINEDU/VMGI-PRONIED-UGSC (02.12.2024) EN LA QUE SE COMUNICA A LA MD PIMENTEL LA EMISION DEL DECRETO SUPREMO N° 240-2024-EF DONDE SE TRANSFIEREN S/ 731,794.00 A FAVOR DEL PI.
SE VERIFICA EN EL BANCO DE INVERSIONES QUE LA MD HA CUMPLIDO CON LA INCORPORACION DE LOS RECURSOS ASIGNADOS.
MEDIANTE INFORME N° 013-2024-MINEDU-VMGI-PRONIED-UZLA (05.01.2024) MONITOR DE OBRA INFORMA QUE EN VISITA DEL 28.12.2023 VERIFICÓ PROYECTO CULMINADO SIN OBSERVACIONES.
EN COMUNICACION DEL 08 ENE 2024 LA MONITORA INFORMA QUE EN ET NO CONSIDERARON DRENAJE PLUVIAL EN COBERTURAS LO CUAL PODRÍA SER UN PROBLEMA DEPENDIENDO DE LA INTENSIDAD DEL FENÓMENO DEL NIÑO.
MEDIANTE INFORME SITUACIONAL ENTIDAD INFORMA QUE OBRA CULMINÓ EL 20 NOV 2023 CON UN PORCENTAJE DE EJECUCIÓN DE 97.47% (SALDO CORRESPONDE A ADICIONALES DE OBRA CON DEDUCTIVOS VINCULANTES Y REDUCCIONES DE CONTRATO).</t>
  </si>
  <si>
    <t>SALDO DE OBRA RECEPCIONADO
OBRA PRINCIPAL: CON CONTRATO RESUELTO, INICIÓ OBRA EL 27/01/2022, CON PLAZO DE EJECUCIÓN DE 330 DC,  MEDIANTE RESOLUCION DE GERENCIA MUNICIPAL N°281-2023-MPJ/GM SE RESUELVE EN CONTRATO DE LA OBRA POR INCUMPLIMIENTO (11/11/2023) CON UN AVANCE FÍSICO DE 93,34%.
SALDO DE OBRA : LA UEI INFORMA QUE  LA OBRA SE ENCUENTRA CULMINADA AL 100% CON FECHA 17/02/2025. CON FECHA DE 16/03/2025 SE FIRMA EL ACTA DE RECEPCIÓN DE SALDO DE OBRA, CONCLUYENDO LA EJECUCIÓN DE LA OBRA. LA UEI INFORMA QUE LA OBRA TUVO INAUGURACIÓN EL DIA 17/03/2025, CONTÓ CON LA PRESENCIA DE ALCALDE, DIRECTOR Y UGEL, SIN EMBARGO, NO CONTO CON LA PRESENCIA DE PRONIED.
LA UEI HA REGISTRADO EN SU FORMATO 12B, QUE SE  CUENTA CON APROBACIÓN MEDIANTE RESOLUCIÓN GERENCIAL MUNICIPAL N° 207-2025-MPJ/GM (08/08/2025) PERTENECIENTE A LA LIQUIDACIÓN DEL SALDO DE OBRA. ADEMAS, SE ENCUENTRA EN PROCESO DE ELABORACIÓN LA LIQUIDACIÓN TÉCNICA A CARGO DEL SUPERVISOR. FINALMENTE SE TIENE PENDIENTE REALIZAR LA TRANSFERENCIA A LA UGEL JAEN, PARA PODER REALIZAR EL CIERRE CORRESPONDIENTE.</t>
  </si>
  <si>
    <t>DS 260-2025-EF (MEF)</t>
  </si>
  <si>
    <t>LIQUIDACIÓN DE OBRA
INICIO DE OBRA: 21.01.2022 - PLAZO DE EJCECUCIÓN 360 DC
FECHA CULMINACIÓN CONTRACTUAL 16/01/2023 - CULMINACIÓN PROGRAMADA: 30/11/2024  - RECEPCION: 17/12/2024
INAUGURACIÓN 12/02/2025
LIQUIDACIÓN DE OBRA: RESOLUCIÓN DE ALCALDIA Nº 032-2025-MDC-A (30/01/2025)
LIQUIDACIÓN DE SUPERVISIÓN DE OBRA: RESOLUCIÓN DE ALCADÍA Nº 049-2025-MDC/A (14/02/2025)
EN INSPECCIÓN DE LA UNIDAD ZONAL, HAN IDENTIFICADO OBSERVACIONES (FILTRACIONES DE AGUA EN CIELO RASO, REPARACIONES DE PINTURA, ETC Y RECOMENDACIÓN DE INSTALACIÓN DE PORTÓN PRINCIPAL) LAS CUALES HAN SIDO COMUNICADAS A LA MUNICIPALIDAD A TRAVÉS DE NOTIFICACIÓN Nº 002-2025-MINEDU-VMGI-PRONIED-UZPIURA-HEBB (21/01/2025)</t>
  </si>
  <si>
    <t xml:space="preserve">SALDO DE OBRA CULMINADA (18.03.2025) Y RECEPCIONADA (09.04.2025)
MEDIANTE OFICIO N° 002090-2025-MINEDU-VMGI-PRONIED-UGSC (05.11.2025) SE COMUNICA A LA ENTIDAD EL INCUMPLIMIENTO DE REGISTRO DE INFORMACIÓN Y CIERRE DEL PI EN EL BANCO DE INVERSIONES; ASIMISMO SE LE SOLICITA REMITIR UN INFORME DETALLADO QUE CONTENGA LA ACTUALIZACION DEL FORMATO N° 12B, DOCUMENTO QUE ACREDITE LIQUIDACION TECNICA FINANCIERA DEL PROYECTO Y DOCUMENTO QUE ACREDITE CIERRE DE PI A TRAVÉS DE FORMATO N° 09.
MEDIANTE INFORME N° 643-2025-MINEDU-VMGI-PRONIED-UZSANMARTIN (17.07.2025) MONITOR DE OBRA INFORMA QUE EN VISITA DEL 10 JUL 2025 NO PUDO INGRESAR A LA OBRA PUESTO QUE NO SE ENCONTRO AL RESPONSABLE DE LA CUSTODIA DE LA OBRA. 
POR OTRO LADO, EL GERENTE DE INFRAESTRUCTURA DE LA MD INDICO QUE NO SE CUENTA CON AUTORIZACIÓN PARA USO DE LA ENERGÍA ELÉCTRICA DESDE LA RED PÚBLICA, DEBIDO A QUE LA EMPRESA PRESTADORA DEL SERVICIO HA NOTIFICADO OBSERVACIONES AL EXPEDIENTE DE LA MEDIA TENSIÓN. ASIMISMO, MENCIONA QUE DICHAS OBSERVACIONES YA FUERON SUBSANADAS Y ESTÁN A LA ESPERA DE SU REVISIÓN Y CONFORMIDAD.
SE LE HA SOLICITADO A MONITOR REALIZAR UNA NUEVA VISITA DE INSPECCION.
MEDIANTE INFORME N° 342-2025-MINEDU-VMGI-PRONIED-UZSANMARTIN MONITOR DE OBRA INFORMA QUE EN VISITA DEL 14.05.2025 VERIFICO LAS SIGUIENTES OBSERVACIONES:
- LA OBRA HA SIDO RECEPCIONADA TENIENDO PARTIDAS PENDIENTES DE EJECUCION: 
* INSTALACIÓN DE BARANDAS DE TUBOS GALVANIZADOS DE ACERO INOXIDABLE EN SSHH DE DISCAPACITADOS
* INSTALACIÓN DE SEPARADORES DE POLICARBONATO EN URINARIOS DE SSHH ALUMNOS Y VESTIDORES
* INSTALACIÓN DE DISPENSADORES DE JABÓN LÍQUIDO, PAPEL TOALLA, PAPEL HIGIÉNICO EN SSHH
* INSTALACIÓN DE TAPAS CIEGAS EN CAJAS DE PASO, ENTRE OTRAS
- MONTANTES DE BAJADA DE AGUAS PLUVIALES DESCONECTADOS DE CANALETA METÁLICA
- EQUIPAMIENTO SIN PROTECTOR
- PUERTA METALICA DE CUARTO BOMBAS DE CISTERNA PRESENTA ABERTURA DE 5CM
- ENTRE OTRAS
SE EVIDENCIA QUE LA OBRA HA SIDO CULMINADA Y RECEPCIONADA SIN HABER CULMINADO CON TODAS LAS PARTIDAS DE EJECUCION Y SIN BRINDAR INFORMACION A LA UGSC A PESAR DE LAS SOLICITUDES MEDIANTE OFICIO N° 000196-MINEDU-VMGI-PRONIED-UGSC (10.03.2025) Y OFICIO N° 000358-MINEDU-VMGI-PRONIED-UGSC (04.04.2025).
MEDIANTE OFICIO N° 000894-MINEDU-VMGI-PRONIED-UGSC (10.06.2025), LA UGSC SOLICITA EL INFORME SITUACIONAL DEL PI Y TRASLADA OBSERVACIONES DE UNIDAD ZONAL.
OBRA PRIMIGENIA: CONTRATO RESUELTO 17/04/2024, AVANCE: 78,03%. </t>
  </si>
  <si>
    <t xml:space="preserve">LIQUIDACION DE OBRA
FECHA APROBACION ET – 24/04/2022
POSTOR EJECUTOR – ACONSORCIO MISTI POR MONTO DE S/8,958,829.35
POSTOR SUPERVISION - CONSORCIO SUPERVISOR UMACHIRI POR MONTO DE S/393,402.60
INICIO DE OBRA: 18/01/2023 - PLAZO 270DC
FECHA CULMINACIÓN CONTRACTUAL: 14/10/2023 - FECHA PROGRAMACIÓN: 04/12/2023, FECHA REPROGRAMACION: 13/01/2024
FECHA RECEPCION: 25/03/2024
FECHA LIQUIDACION: 25/07/2024 - RGA N°009-2024-MDU/A
LIQUIDACION SUPERVISION- AUN EN PROCESO
OBRA LIQUIDADA E INAUGURADA, ASIMISMO YA SE ENCUENTRA EN USO, SIN EMBARGO, INDICAN QUE TIENE PENDIENTE DE PAGO CON EL CONTRATISTA Y ESTAN A LA ESPERA DE FINANCIAMIENTO. 
OBRA BENEFICIADA POR EL DS 240-2024-EF, POR EL MONTO DE S/284,579.00
</t>
  </si>
  <si>
    <t xml:space="preserve">EJECUCION DE OBRA- SALDO DE OBRA N°02
OBRA PRINCIPAL_ 
FECHA APROBACION ET: 29/04/2022 
CULMINACION ASITEC: 05/05/2022
INICIO EJECUCION OBRA PRINCIPAL: 17/11/2022 AL 04/07/2023, POR UN PLAZO DE 180 DC, POR PARO EN PUNO A FINAL DE 2022 HASTA 2023, POR PLAZOS Y POCO ACCESO SE RESOLVIO CONTRATO
ENTIDAD NO ENVIA INFORMACION DE AVANCE
PARALIZACION: ENERO 2023
OBRA PRINCIPAL: 7.69% EJECUTACION POR AI 
SALDO DE OBRA_
INICIO EJECUCION SALDO DE OBRA: 21/12/2023 POR UN PLAZO DE 150 DIAS CALENDARIOS RES ET S/3,771,578.70
CULMINACION PROGRAMADA EJECUCION SALDO DE OBRA: 18/05/2024
SALDO DE OBRA:  24.39% EJECUTACION POR AI
ESTADO CONTRATO RESUELTO: OBRA PARALIZADA DESDE EL 07/03/2024 MEDIANTE ACTA POR LLUVIAS Y MAL CLIMA QUE NO PERMITEN REANUDAR EL TRABAJO  
OBRA CON CONTRATO RESUELTO CUENTA CON 24,39% EJECUTADO SOBRE UN 26,57% PROGRAMADO. OBRA ATRASADA Y PARALIZADA DESDE EL 07/03/2024 POR LLUVIAS, Y VALORIZACIONES DE ENE/FEB INDICA QUE ESTAN OBSERVADAS. 
SALDO DE OBRA N°02_ 
CONTRATISTA_ CONSORCIO UMACHIRI - N°001-2024-MDU/GM
MONTO _S/3,139,541,89
PLAZO_150 DIAS
ENTREGA TERRENO_20/01/2025
INICIO DE OBRA_07/02/2025
Inicio de obra : 07/02/2025
Fecha de término contractual : 06/07/2025
Suspensión de Obra N° 01 : del 31/03/2025 al 08/06/2025
Reinicio de Obra : 09/06/2025
Ampliación de Plazo N° 01 : 13 días calendario aprobado con Resolución
de Alcaldía N° 138-2025-MDU/A.
Ampliación de Plazo N° 02 : 16 días calendario aprobado con Resolución
de Alcaldía N° 140-2025-MDU/A.
Fecha de término reprogramado : 12/10/2025
CONSIDERADO EL LA LEY DE PRESUPUESTO 2026 POR UN M ONTO DE S/900,000,-
MEDIANTE EXPEDIENTE E-040704-2025 (10-12-2025), LA MD REMITE EL INFORME 002-2025-MDU/GM, EN RESPUESTA AL OFICIO 2134-2025 UGSC, CON EL CUAL SE LE SOLICITA INFORMACION ACTUALIZADA. INDICAN QUE SE ENCUENTRA SUSPENDIDA, POR FALTA DE PRESUPUESTO.
</t>
  </si>
  <si>
    <t>RECEPCION DE OBRA
OBRA CULMINO 28/01/2025 SEGUN ASIENTO DE OBRA 316 DEL CUADERNO DE OBRA VIRTUAL. RECEPCIONO EL 26/03/2025 E INAUGURO EL 31/03/2025
MEDIANTE, WHATS APP, LA UZ DE PUNO INFORMA DE LA VISITA DE FECHA 12/12/2025:
*Falta mejorar el acabado de las manijas de las tapas de concreto estas deben estar empotradas al nivel del piso terminado.
*Mejorar el drenaje de agua pluviales hacia las canaletas de concreto en la parte lateral de la IE, cerca del cerco perimétrico, suelo inestable y filtraciones en los muiros de las aulas.
*Se debe sellar las juntas del cerco perimétrico y estas deben ser continuas hasta el sobrecimiento.
*Se encuentra pendiente el reencauzamiento del riachuelo Lequechani por parte de la UE Municipalidad Distrital de Santa Rosa, siendo un riesgo en temporada de lluvias.
*La UE Municipalidad Distrital de Santa Rosa, inicio con los trabajos del campo deportivo de Grass sintético, obra complementaria con saldos de obra, no se informó de manera formal el inicio de la ejecución de los trabajos. 
*La obra se encuentra culminada actualmente en USO, persisten observaciones que deben ser levantadas por el contratista, para su optimo funcionamiento de la infraestructura.
FECHA APROBRACION ET – 07/11/21
POSTOR EJECUTOR – PRIMERA CONVOCATORIA DECLARADO NULO (LP-SM-2-2022-MDSR/CS-1)
POSTOR SUPERVISION – DECLARADO DESIERTO POR OSCE (CONSORCIO - CONSORCIO SUPERVISOR SAN JUAN POR UN MONTO DE S/388,955.40)
MODALIDAD: POR CONTRATA/SUMA ALZADA
F.ENTREGA DE TERRENO06-12-23
F.INICIO DE OBRA 14-12-23
PLAZO DE EJECUC. PROGRAM.: 270D/C
F.TERMINO CONTRACTUAL: 08-09-24
4 AMPLIAC. DE PLAZO
F. TERMINO REPROGRMADO: 31-12-24
F. REAL DE CULMINACION DE OBRA  25/01/2025 SEGUN ASIENTO DE OBRA 316 DEL CUADERNO DE OBRA VIRTUAL. 
FUE RECEPCIONADOEL 26.03.25 E INAUGURADO EL 31/03/2025, CON PRESENCIA DE PRONIED DE LA SEDE PUNO. -
AVANCE EJECUT.ACUM.98,15% VALORIZ.ENE-25
AVANCE PROGRAM. ACUM. 100% CRONOG. ENE-25</t>
  </si>
  <si>
    <t xml:space="preserve">OBRA PRIMIGENEA
22/12/2025, EN COMUNICACION VIA WHATS APP CON LA RESIDENTE DE OBRA ARQ. MIYOSHI, SE LE SOLICITA LA SITUACION ACTUAL Y LA CURVA S, PARA VER EL AVANCE DE LA OBRA. EN LA CUAL SE APRECIA QUE EL PI TIENE UN AVANCE EJECUTADO DE 64,61% VS 65,44% A NOV-2025; SEGUN CURVA S REMITIDA POR LA RESIDENTE.
MEDIANTE WHATS APP, LA UZ INFORMA SOBRE LA VISITA DE OBRA DEL 12-12-2025, Avance Físico Ejecutado acumulado: 64.61% según valorización de NOVIEMBRE del 2025. Avance Físico Programado acumulado: 65.44% según cronograma al mes de NOVIEMBRE del 2025
SALDO DE OBRA 
Modalidad de Ejecución : POR CONTRATA
Sistema de Contratación : SUMA ALZADA
INICIO DE OBRA: 10/02/2025
-PLAZO 180D/C
FIN DE TERMINO CONTRACTUAL: 08/08/2025
Suspensión de Obra N° 01 : del 15/02/2025 al 31/03/2025
Reinicio de Obra N° 01 : 01/04/2025
Fecha de término reprogramado : 22/09/2025
SUSPENSION N°2 - 22/07/25 (debido a los trabajos que viene realizando la MD Santa Rosa, obra de pistas yveredas  en las calles colindante) 
ACTA DE REINICIO DE 15/09/2025
Fecha de término reprogramado : 22/09/2025
FECHA APROBRACION ET – 03/11/21
Modalidad de Ejecución : POR CONTRATA
Sistema de Contratación : SUMA ALZADA
Fecha de entrega de terreno : 15/05/2023
INICIO DE OBRA: 16/05/2023
- PLAZO: 330DC 
- FECHA DE CULMINACION CONTRACTUAL: 09/04/2023 
Ampliación de Plazo N° 01 : 60 días calendario (consentida)
Ampliación de Plazo N° 02 : 30 días calendario (aprobado por conciliación)
Ampliación de Plazo N° 03 : 15 días calendario (pend. respuesta por la entidad)
Suspensión de Obra N° 01 : del 19/01/2024 al 18/02/2024
Reinicio de Obra : 19/02/2024
Fecha de término reprogramado : 09/07/2024
SALDO DE OBRA 
Modalidad de Ejecución : POR CONTRATA
Sistema de Contratación : SUMA ALZADA
INICIO DE OBRA: 10/02/2025
-PLAZO 180D/C
FIN DE TERMINO CONTRACTUAL: 08/08/2025
Suspensión de Obra N° 01 : del 15/02/2025 al 31/03/2025
Reinicio de Obra N° 01 : 01/04/2025
Fecha de término reprogramado : 22/09/2025
SUSPENSION N°2 - 22/07/25 (debido a los trabajos que viene realizando la MD Santa Rosa, obra de pistas yveredas  en las calles colindante) 
ACTA DE REINICIO DE 15/09/2025
Fecha de término reprogramado : 22/09/2025
</t>
  </si>
  <si>
    <t>DS 317-2025-EF (MEF)</t>
  </si>
  <si>
    <t>CULMINACION DE OBRA
*PI beneficiado en el DS 317-2025-EF(26-12-2025) por  S/ 104,201.00.
DE VISITA DE MONITOR DE FECHA 20 DE MAYO IDENTIFICA OBSERVACIONES Y DEFICIENCIAS QUE CON CUMPLEN CON LAS ESPECIFICACIONES TÉCNICAS DEL ET LAS CUALES DEBEN SER CORREGIDAS.
DEl MONITOREO DE OBRA, DE FECHA 04 DE JUNIO, LA UZ VERIFICO EL  levantamiento de observaciones, DE LO QUE se encuentran ejecutados según las ESPEC.TECN. del expediente. POR ELLO INDICA 1UE LA OBRA ESTA condiciones para efecto de entrega de obra.
INICIO DE OBRA: 28/12/22 - PLAZO: 360DC 
FECHA DE CULMINACION: 23/12/23 
FECHA DE REPROGRAMACION 02/04/24 
FECHA NUEVA REPROGRAMACION 08/05/2024 
FECHA NUEVA REPROGRAMACION 12/05/2024
FECHA APROBACION ET – 07/04/2022
POSTOR EJECUTOR – CONSORCIO - CONSORCIO LOS ANDES MONTO POR S/3,610,042.01
POSTOR SUPERVISION - CONSORCIO - CONSORCIO CONSULTING GROUP POR MONTO DE S/ 222,739.60
FECHA REAL DE CULMINACIÓN: 31/01/2025
FECHA DE RECEPCIÓN: 23/04/2025</t>
  </si>
  <si>
    <t xml:space="preserve">LIQUIDACIÓN DE OBRA
IE 863:  INICIO DE OBRA 22.11.2022, TERMINO DE OBRA: 23/04/2023
ACTA DE RECEPCIÓN FECHA 26/05/2023 - LIQUIDACIÓN DE SUPERVISIÓN: RA Nº454-2023-MDB-A (24/11/2023) - LIQUIDACIÓN DE CONTRATO DE EJECUCIÓN DE OBRA: RESOLUCIÓN DE ALCALDIA Nº184-2024-MDB-A (03/06/2024 - MONTO DE REAJUSTE POR S/ 295,645.94)
IE 390: INICIO DE OBRA 22.11.2022, TERMINO DE OBRA: 20/04/2023
ACTA DE RECEPCIÓN FECHA 11/05/2023 - LIQUIDACIÓN DE CONTRATO DE EJECUCIÓN DE OBRA: RESOLUCIÓN DE ALCALDIA Nº185-2024-MDB-A (03/06/2024 - MONTO DE REAJUSTE POR S/ 376,296.71)
IE 1566: INICIO DE OBRA 22.11.2022, TERMINO DE OBRA: 27/03/2023
ACTA DE RECEPCIÓN FECHA 20/04/2023 - LIQUIDACIÓN DE SUPERVISIÓN: RA Nº392-2023-MDB-A (29/08/2023) - LIQUIDACIÓN DE CONTRATO DE EJECUCIÓN DE OBRA: RESOLUCIÓN DE ALCALDIA Nº169-2024-MDB-A (23/05/2024 - MONTO POR REAJSUTES DE S/ 225,135.26)
IE 808: INICIO DE OBRA 21.11.2022, TERMINO DE OBRA: 30.04.2023
ACTA DE RECEPCIÓN FECHA 01/06/2023 - LIQUIDACIÓN DE SUPERVISIÓN: R.A Nº424-2023-MDB-A (10/10/2023) - LIQUIDACIÓN EJECUCIÓN DE OBRA: RA Nº 386-2023-MDB-A (26/08/2023 - MONTO POR REAJUSTES DE S/ 440,730.55)
IIEE EN USO, PENDIENTE LIQUIDACIÓN DE SUPERVISIÓN IE 390 Y TRANSFERENCIA DE IIEE  </t>
  </si>
  <si>
    <t>LIQUIDACIÓN DE OBRA 
PROYECTO CON 03 IIEE: IE 14027: LIQUIDACIÓN DE OBRA, IE 14026: LIQUIDACIÓN DE OBRA, IE 14024: LIQUIDACIÓN DE OBRA
IE 14026: INICIO DE OBRA 01.12.2022 - PLAZO DE EJECUCIÓN 240 DC
FECHA DE CULMINACIÓN: 20/09/2023, ACTA DE RECEPCIÓN 05/12/2023
LIQUIDACION TECNICA FINANCIERA DE CONTRATO DE EJECUCION: RA Nº 189-2024-MDB/A (03/06/2024)
IE 14027: INICIO DE OBRA 22.11.2022 - PLAZO DE EJECUCIÓN 240 DC
FECHA DE CULMINACIÓN: 11/10/2023, ACTA DE RECEPCIÓN 15/12/2023
LIQUIDACION TECNICA FINANCIERA DE CONTRATO DE EJECUCION: R.A N° 156-2024-MDB/A (08/05/2024)
IE 14024 : INICIO DE OBRA 19.11.2022 - PLAZO DE EJECUCIÓN 240 DC
CON ACTA DE CONCILIACIÓN DE FECHA 29/11/2024, EN QUE ACUERDAN QUE MUNICIPALIDAD REALIZARÁ PAGOS PENDIENTES Y EL CONTRATISTA CULMINARÁ LA OBRA EN 30 DC - FECHA DE CULMINACIÓN 05/04/2025 - ACTA DE RECEPCIÓN DE OBRA: 18/06/2025
LIQUIDACION TECNICA FINANCIERA DE CONTRATO DE EJECUCION: R.A N° 327-2025-MDB/A (16/09/2025)</t>
  </si>
  <si>
    <t xml:space="preserve">LIQUIDACIÓN DE OBRA
INICIO DE OBRA: 18/11/2022 - PLAZO DE EJECUCIÓN 300 DC
FECHA DE CULMINACIÓN: 17/02/2024 - RECEPCIÓN DE OBRA: 14/03/2024 
IE HA SIDO INAUGURADO POR MUNICIPALIDAD (19/03/2024) SIN PRESENCIA DE PRONIED 
LIQUIDACIÓN DE OBRA: RESOLUCIÓN DE ALCALDÍA Nº 0229-2024-MDM-A (06/05/2024)
PENDIENTE UEI REMITA RESOLUCIÓN DE LIQUIDACIÓN SUPERVISIÓN Y ACTA DE TRANSFERENCIA PARA SU POSTERIOR CIERRE. </t>
  </si>
  <si>
    <t>2336797</t>
  </si>
  <si>
    <t>SUSPENDIDA
INICIO OBRA: 20/11/2023 - FIN DE OBRA CONTRACTUAL: 13/03/2025 - NUEVA FECHA DE CULMINACIÓN EL 23 DE ABRIL DE 2026
CON ACTA DE SUSPENSIÓN N° 05: 20/12/2025, POR FUERTES LLUVIAS EN LA ZONA
VALORIZACIÓN AL MES DE DICIEMBRE: 79,99%
OBRA PRINCIPAL CON UN AVANCE ACUMULADO DE 26,51% VS 21,53% PROGRAMADO. ADICIONAL DE OBRA CON UN AVANCE ACUMULADO DE 78,58% VS 71,82% PROGRAMADO.
PLAN DE CONTINGENCIA (NIVEL PRIMARIA Y SECUNDARIA), EN CENTRO CÍVICO DE LA COMUNIDAD DE UMARI</t>
  </si>
  <si>
    <t xml:space="preserve">LOS PROYECTO SE ENCUENTRAN CON RESOLUCIÓN DE LIQUIDACIÓN DESDE EL 2018, LA ENTIDAD NO CIERRA LOS PROYECTOS EN EL BANCO DE INVERSIONES. </t>
  </si>
  <si>
    <t xml:space="preserve">SE EJECUTO EL COMPONENTE DE EQUIPAMIENTO Y MOBILIARIO , EL CUAL NO ESTABA A CARGO DEL CONTRATISTA DE OBRA. POR AD. 
LA OBRA SE ENCUENTRA LIQUIDADA. CONTRATISTA: SALDO A FAVOR S/ 1,451,599.00. SUPERVISION: SALDO A FAVOR S/ 376,027.33. NO CUENTAN CON PAGOS PENDIENTES, TIENEN SALDO POR EJECUTAR POR EL MONTO DE S/ 293,473.61 DEL TOTAL APROBADO POR CONVENIO. SIN EMBARGO, MENCIONAN QUE DEL TOTAL TRANSFERIDO POR MINEDU, SE REALIZO UNA MODIFICACION PRESUPUESTARIA POR EL MONTO DE S/ 1,142,853.54 AL CUI 2511629.
INFRAESTRUCTURA EN USO DESDE 31/01/2022 </t>
  </si>
  <si>
    <t>DU N° 040-2021
(ANEXO 02)</t>
  </si>
  <si>
    <t>OBRA CULMINADA - RECEPCIONADA
29/12/2025 EN RESPUESTA A LA UGSC, LA UEI CON FECHA 02/12/2025 HA REMITIDO EL ACTA DE RECEPCIÓN DE LA OBRA EFECTUADA EL 25/06/2025, SE ENCUENTRAN EN PROCESO DE LIQUIDACIÓN DE OBRA.  
OBRA DE TRABAJOS COMPLEMENTARIOS: 
LA UEI EN RESPUESTA AL OFICIO N° 01263-2025-UGSC, HA PRESENTADO  CON FECHA 15/08/20255  EL INFORME N° 001-2025 BAE/GIDUR/MDCC EN EL CUAL INDICA EL ESTADO SITUACIONAL DEL PI MENCIONANDO LOS SGTES DATOS: 
LA ENTREGA DE TERRENO EL 16,01,2025, INICIO DE OBRA EL 03,02,2025, CULMINA LA OBRA EL 28,05,2025 Y MEDIANTE R.G.M N° 047-2025-MDCC/GM-FPF DEL 23,06,2025 SE CONFORMA EL COMITE DE RECEPCIÓN DE OBRA.
MEDIANTE RGM 195-2023-MDCC/GM-AGR DE FECHA 07/12/23 SE APRUEBA EL E.T. POR EL MONTO DE S/ 1,687,895,52 POR UN PLAZO DE 120DC BAJO MODALIDAD DE ADMINISTRACION INDIRECTA.
OBRA PRIMIGENIA
OBRA CULMINADA 14/09/23, RECEPCIONADA 10/10/23 E INAUGURADA 22/12/23. ACTUALMENTE LA INFRAESTRUCTURA SE ENCUENTRA EN USO</t>
  </si>
  <si>
    <t>OBRA SUSPENDIDA
10/12/2025: EL10 DE DICIEMBRE, SE HA REMITIDO CORREO ELECTRÓNICO AL JEFE DE LA OCI DE LA MP URUBAMBA CONSULTANDO POR ACCIONES DE CONTROL REALIZADAS, EN RELACIÓN AL PROYECTO DE INVERSIÓN
INICIO 25/01/2024
 REINICIO DE OBRA EL 16/05/2025, (REMITIO ACTA) 
CULMINACIÓN PROGRAMADA 18/07/2025
                                REPROGRAMADA 22/10//2025</t>
  </si>
  <si>
    <t xml:space="preserve">OBRA CULMINADA - RECEPCIONADA E INAGURADA
EN RESPUESTA AL OFICIO 1264-2025-UGSC, LA UEI CON FECHA 12,08,2025 HA REMITIDO EL OFICIO N° 402-2025-GM-MDL/CH MEDIANTE EL CUAL ADJUNTA EL INFORME N °1105-2025-MD-LIVITACA/GDTI-ILAB CON EL CUAL INFORMA QUE LA OBRA FUE CULMINADA CON PENALIDADES CUYA FECHA PREVISTA ERA EL 15,06,2024, EL CONTRATISTA CULMINÓ EL 09,02,2025 Y SE RECEPCONÓ EL 03,04,2025. ACTUALMENTE SE ENCUENTRA EN PROCESO DE LIQUIDACIÓN TECNICA Y FINANCIERA PARA PROCEDER POSTERIORMENTE AL CIERRE DEL PI.
INICIO 20/02/2023
CULMINÓ 09/02/2025  RECEPCIÓN O° 03/04/2025
FUE INAGURADA EL 14/04/2025, (NO COMUNICARON A PRONIED) 
SE ENCUENTRA EN  PLAZO DEL PROCESO DE LIQUIDACIÓN DE OBRA , </t>
  </si>
  <si>
    <t>LIQUIDACIÓN DE OBRA
INICIO DE OBRA: 06.12.2022 , EJECUCIÓN 600 DC - FECHA DE CULMINACIÓN CONTRACTUAL REPROGRAMADA:16/04/2025, ADICIONAL DE OBRA N° 01 Y 02 AMPLIACIONES DE PLAZO (152 DC)
LA OBRA FUE CULMINADA CON FECHA 16/04/2025, MEDIANTE EL ASIENTO DE OBRA N° 1099 DEL RESIDENTE Y ASIENTO DE OBRA N° 1100 DEL SUPERVISOR, CONTANDO ASI CON LA CONFORMIDAD TÉCNICA CULMINANDO AL 100%. SE CONTO ACTA DE PLIEGO DE OBSERVACIONES QUE FUE SUSCRITO EL 09/05/2025 INDICANDO QUE TIENE UN PLAZO DE 45 DIAS CALENDARIOS. FINALMENTE SE FIRMO EL ACTA DE RECEPCIÓN DE OBRA EN RELACIÓN AL PROYECTO DE INVERISÓN CON FECHA 03/07/2025. TUVO SU INAUGURACIÓN DEL PROYECTO EL DIA 18/07/2025.  SE TIENE LA RESOLUCIÓN DE GERENCIA MUNICIPAL N° 402-2025-MDH-7GM (12/11/2025) EN EL CUAL SE APRUEBA LA LIQUIDACIÓN TECNICO-FINANCIERA DE LA OBRA Y LA RESOLUCIÓN DE GERENCIA MUNICIPAL N° 421-2025-MDH-7GM (02/12/2025) EN EL CUAL SE APRUEBA LA LIQUIDACIÓN TECNICO-FINANCIERA DE LA SUPERVISIÓN.</t>
  </si>
  <si>
    <t>LIQUIDACIÓN DE OBRA
INICIO DE OBRA: 01/06/2023, EJECUCIÓN 270 DC - FECHA DE CULMINACIÓN CONTRACTUAL: 25/02/2024, SUSPENSIÓN 01,02,03 Y REINICIOS 01,02,03. RGM 097-2023-MDCH-GM ADICIONAL 01, RGM 024-2024-MDCH-GM ADICIONAL 02
LA OBRA SE ENCUENTRA CULMINADA (21/05/2024) Y RECEPCIONADA (20/06/2024) TIENE UN AVANCE FÍSICO ACUMULADO AL 100% EN SU EJECUCIÓN FÍSICA. TUVO INAUGURACIÓN EL DIA 15/08/2024 Y NO CONTO CON LA PRESENCIA DE PRONIED. TIENE RESOLUCIÓN DE GERENCIA MUNICIPAL N° 087-2024-MDCH/GM (28/08/2024) MEDIANTE EL CUAL SE APRUEBA LA LIQUIDACIÓN TÉCNICA FINANCIERA DEL CONTRATO DE EJECUCIÓN DE OBRA.LA UEI NO HA INFORMADO SOBRE LA RESOLUCIÓN DE LIQUIDACIÓN DE SUPERVISIÓN, NI SOBRE LA TRANSFERENCIA.</t>
  </si>
  <si>
    <t xml:space="preserve">LIQUIDACIÓN DE OBRA
INICIO DE OBRA: 17/01/2023, EJECUCIÓN 360 DC - FECHA DE CULMINACIÓN CONTRACTUAL: 11/01/2024, SUSPENSIÓN N° 01,02 
LA OBRA SE ENCUENTRA CULMINADA (05/05/2024) Y RECEPCIONADA (09/07/2024) E INAUGURADA (12/12/2024), CUENTA CON UN AVANCE FISICO ACUMULADO AL 99,50%. SE CUENTA CON LA RESOLUCIÓN GERENCIAL N° 071-2024-MDLC-LM/GM (03/10/2024) DE LA LIQUIDACIÓN DE OBRA Y LA RESOLUCIÓN GERENCIAL N° 070-2024-MDLC-LM/GM (27/09/2024)  DE LA LIQUIDACIÓN DE SUPERVISIÓN. ACTUALMENTE LA OBRA CUENTA CON UN ACTA DE ENTREGA DE INFRAESTRUCTURA, VERIFICACION, CONSTATACIÓN DE BIENES Y EQUIPAMIENTOS TECNOLÓGICO (15/10/2024) REALIZADO AL DIRECTOR DE LA INSTITUCION EDUCATIVA. MEDIANTE OFICIO N° 029-2025-MDLC-LM-A/A (05/02/2025) SE REITERÓ SOLCIITUD DE LOS DOCUMENTOS COMPLEMENTARIOS PARA LA TRANSFERENCIA DE OBRA A LA UGEL-LA MAR. ADEMAS INFORMAN QUE SE TIENE SALDO DE REAJUSTE A FAVOR DEL CONTRATISTA POR S/ 247,410.80 PENDIENTE DE PAGO, ESTO SE DEBE A QUE LA MUNICIPALIDAD NO CUENTA CON DISPONIBILIDAD PRESUPUESTAL.
</t>
  </si>
  <si>
    <t>EN EJECUCIÓN DE OBRA - SALDO DE OBRA
OBRA PRINCIPAL: CON CONTRATO RESUELTO, INCIÓ OBRA EL 01/12/2022, CON PLAZO DE EJECUCIÓN DE 540 DC, TESORERÍA INFORMA QUE LA CARTA FIANZA EMITIDA POR EL CONSORCIO ES FALSA Y LA ENTIDAD RESUELVE EL CONTRATO DE OBRA MEDIANTE LA RESOLUCIÓN DE GERENCIA MUNICIPAL N° 114-2022-MDASF/GM (30/12/2022) TENIENDO UN AVANCE FINANCIERO DE 0,26%.
EL SALDO DE OBRA: SE CUENTA CON ACTA DE INICIO DE DE PLAZO DE EJECUCIÓN DEL SALDO DE OBRA CON FECHA 25/03/2025 Y TIENE UN PLAZO DE 540 DIAS CALENDARIOS,POR LO TANTO, LA FECHA DE CULMINACIÓN CONTRACTUAL SERIA EL 15/09/2026. CUENTA CON  LA VALORIZACIÓN N° 08 DEL MES DE OCTUBRE CON UN AVANCE  FÍSICO ACUMULADO AL 26,79%  VS UN AVANCE PROGRAMADO AL 28,23%, OBRA ADELANTADA. ADEMAS, INFORMAN SOBRE LE ADICIONAL N° 01 Y N°02 SE ENCUENTRAN CULMINADOS AL 100%.</t>
  </si>
  <si>
    <t>CONTRATO DE EJECUCIÓN DE OBRA LIQUIDADA
FECHA 29/11/2023 SE DA POR CULMINADA LA EJECUCIÓN DE LA OBRA
 EL 16 DE FEBRERO, SE RECEPCIONÓ LA OBRA
INAUGURACIÓN 05/03/2024
 SEGUN LA RESOLUCIÓN GERENCIA DE INFRAESTRUCTURA Y GESTIÓN DE INVERSIÓN N° 016-2024-MPCH, SE DA POR LIQUIDADA EL CONTRATO DE LA EJECUCION DE OBRA CON FECHA 22/05/2024
RESOLUCIÓN DE GERENCIA N° 016-2024-MPCH 22 de mayo 2024</t>
  </si>
  <si>
    <t>DS 124-2023-EF</t>
  </si>
  <si>
    <t>OBRA CULMINADA (2024-2025) Y RECEPCIONADA (2024-2025)
MEDIANTE OFICIO N° 0155-2025-MDC-AL (06.05.2025) LA ENTIDAD COMUNICA FECHA TENTATIVA DE INAUGURACION DE OBRA Y ADJUNTA LAS ACTAS DE RECEPCION DE OBRA DEL PI, DE LO CUAL SE INFORMA:
- 475-23 - CP OSCOLLO - OBRA CULMINADA (13/07/2024), RECEPCIONADA (05/09/2024)
- 904 - CP ACHIBAMBA - OBRA CULMINADA (17/07/2024), RECEPCIONADA (20/09/2024)
- 475-3 - CP SAÑOCC - OBRA CULMINADA (17/11/024), RECEPCIONADA (12/02/2025)
- 083 - CP COCHARCAS:  - OBRA CULMINADA (21/03/2025), RECEPCIONADA (14/04/2025)</t>
  </si>
  <si>
    <t xml:space="preserve">	14/05/2025  SEGÚN REGISTRO F12-B  LA UEI INFORMA QUE  SE RECEPCIÓNÓ LA OBRA DE FECHA 30/12/2024. SE CUENTA CON LA APROBACIÓN DE LA LIQUIDACIÓN DEL CONTRATO N°048-2023/DGA-MPCH/C DE EJECUCIÓN DE OBRA MEDIANTE LA R.G.M. N°093-2025-GM-MPCH-C, CON UN SALDO A FAVOR DEL CONTRATISTA POR UN MONTO DE S/196,427.71. SE HA SOLICITADO LA INCORPORACIÓN AL PMI Y LA ASIGNACIÓNPRESUPUESTAL PARA EL PAGO CORRESPONDIENTE (SE ADJUNTA RESOLUCIÓN)
INICIO 08/09/2023
OBRA CULMINADA 09/11/24
RECEPCION 30/12/2024
LIQUIDACIÓN  R.G.M N° 93-2025-GM/MPCH DE FECHA 19/03/2025.
</t>
  </si>
  <si>
    <t>EN EJECUCION DE OBRA
*Pi beneficiado en el DS 317-2025-EF (26-12-2025) por un monto de S/ 225,333.00.
DEL SEGUIMIENTO EN EL SSI, AL 17/12/2025] AL 30 DE NOVIEMBRE DEL 2025, EL PROYECTO DE INVERSIÓN CON CUI N° 2223521, REFLEJA UN AVANCE FÍSICO ACUMULADO DEL 75.85%, SEGÚN LA VALORIZACIÓN N° 20- NOVIEMBRE 2025. 
MEDIANTE WHATSAPP, LA UZ INFORMA DE LA VISITA DE OBRA DEL 04/12/25: 
Avance Físico Ejecutado Acumulado: 78.36%, valorización NOVIEMBRE-2025, el estado de la obra ATRASADA.
Avance Físico Programado Acumulado: 91.26%  al mes de NOVIEMBRE-2025, según calendario actualizado de Obra.
Nueva fecha de Culminación: 18 DE ENERO DEL 2026
FECHA DE INGRESO A AT 26/07/2019 
CULMINACIÓN DE PROCESO DE ASISTENCIA TÉCNICA AT 02/08/2022
MEMO A MONITOREO 07/09/2022 N°000032-2022-MINEDU
Modalidad de Ejecución: POR CONTRATA
Entrega de Terreno: 18 DE ABRIL DEL 2024
FECHA INICIO DE OBRA: 22 ABRIL 2024
PLAZO DE EJECUCIÓN DE OBRA: 480 DÍAS CALENDARIO
Ampliación de Plazo Nº01: 48 DÍAS CALENDARIOS – RG Nº487-2024-MPA/GM, 11/10/2024
Ampliación de Plazo Nº03: 30 DÍAS CALENDARIOS – RG Nº558-2024-MPA/GM, 12/11/2024
TERMINO DE OBRA PROGRAMADO: 14 DE AGOSTO 2025
Ampliación de Plazo Nº01 : 48 D/C (R.G.487-2024-MPA/GM, de 11/10/2024)
Ampliación de Plazo Nº03 : 30 D/C (R.G.558-2024-MPA/GM, de 12/11/2024)
Suspensión de Plazo N°01 : 14 DE MARZO DEL 2025
Reinicio de Obra N°01 : 14 DE ABRIL DEL 2025
Suspensión de Plazo N°02 : 01 DE MAYO DEL 2025
Reinicio de Obra N°02 : 23 DE MAYO DEL 2025
Nueva Fecha Término de Obra : 23 DE DICIEMBRE DEL 2025
Suspensión de Plazo N° 03	: del 23/07/2025 al 07/08/2025, causal paros y bloqueos nacionales
Reinicio de obra N° 03	: 08/08/2025 (16 días calendarios)
Suspensión de Plazo N°04 : 24/10/2025
Causa: Por descanso medico residente
Reinicio de Obra N°02 : 03/11/2025 (10 d/c)
DEL SEGUIMIENTO EN EL SSI, AL 17/12/2025] AL 30 DE NOVIEMBRE DEL 2025, EL PROYECTO DE INVERSIÓN CON CUI N° 2223521, REFLEJA UN AVANCE FÍSICO ACUMULADO DEL 75.85%, SEGÚN LA VALORIZACIÓN N° 20- NOVIEMBRE 2025. DURANTE EL REFERIDO PERIODO LA OBRA FUE REINICIADA
MEDIANTE WHATSAPP, LA UZ INFORMA DE LA VISITA DE OBRA DEL 04/12/25: 
Avance Físico Ejecutado Acumulado: 78.36%, valorización NOVIEMBRE-2025, el estado de la obra ATRASADA.
Avance Físico Programado Acumulado: 91.26%  al mes de NOVIEMBRE-2025, según calendario actualizado de Obra.
Nueva fecha de Culminación: 18 DE ENERO DEL 2026</t>
  </si>
  <si>
    <t xml:space="preserve">OBRA LIQUIDADA
30/07/2025, LA UEI MEDIANTE EL OFICIO N° 217 -2025 -AQUIT-GM-MPCH   DE FECHA 14/07/2025 REMITIÓ EL INFORME N° 065-2025-SSCC-E-SGI/GDT/MPCH DEL 21/07/2025 CON EL CUAL  REPORTEA EL ESTADO SITUACIONAL DEL PI, INDICANDO QUE LA LIQUIDACIÓN DE OBRA HA SIDO APORBADA MEDIANTE LA RGM-N°-0230-2025-GM-MPCH DE FECHA 11,06,2025, (ADJNTÓ RESOLUCION)
INICIO 19/12/2023
OBRA CULMINADA 24/11/24
RECEPCION 27/01/2025
LIQUIDACION RGM-N°-0230-2025-GM-MPCH DEL 11,06,2025
</t>
  </si>
  <si>
    <t>DS 063-2024-EF</t>
  </si>
  <si>
    <t>LIQUIDACIÓN DE OBRA 
LA OBRA SE ENCUENTRA CULMINADA (16/12/2024) Y RECEPCIONADA (15/02/2025), TIENE COMO AVANCE  FÍSICO ACUMULADO DE 100,00%. SE CUENTA CON ACTA DE ENTREGA DE INFRAESTRUCTURA , MOBILIARIO Y EQUIPAMIENTO DE OBRA CON FECHA 15/02/2025, DONDE LOS REPRESENTANTES DEL COLEGIO VERIFICAN EL CUMPLIMIENTO DEL MOBILIARIO Y EQUIPAMIENTO,DANDO LA CONFORMIDAD A LA OBRA. CON LA MISMA FECHA SE TUVO LA INAUGURACIÓN DE LA INSTITUCIÓN EDUCATIVA, SIN EMBARGO NO CONTO CON LA PRESENCIA DE PRONIED.
LA UEI REMITE  LA RESOLUCIÓN DE GERENCIA MUNICIPAL N° 014-2025-MDSB/GM CON FECHA 23/06/2025 PERTENECIENTE A LA EJECUCIÓN DE LA OBRA. ADEMAS SE NOTIFICÓ MEDIANTE  CORREO ELECTRÓNICO A LA MUNICIPALIDAD CON FECHA 26/09/2025, EL OFICIO N°1723-2025-MINEDU/VMGI-PRONIED-UGSC DONDE SE COMUNICA INCUMPLIMIENTO DE REGISTRO DE INFORMACIÓN Y CIERRE DEL PROYECTO DE INVERSIÓN CON CUI N° 2484741, A CARGO DE LA MUNICIPALIDAD DISTRITAL DE SAN BENITO.</t>
  </si>
  <si>
    <t xml:space="preserve">SUSPENDIDA - SALDO DE OBRA
CON CONVENIO Nº 003-2024-MINEDU, SUSCRITO ENTRE LA MUNICIPALIDAD PROVINCIAL DE TAHUAMANU Y MINEDU
OBRA PRINCIPAL: ENTREGA DE TERRENO: 02/10/2024 - INICIO DE OBRA 03/10/2024 (PLAZO DE EJECUCIÓN 240 DC) 
AVANCE FISICO ACUMULADO AL MES DE AGOSTO ES DE 18,22% VS UN ACUMULADO PROGRAMADO DE 33,66
CON RESOLUCIÓN DE CONTRATO DE EJECUCIÓN DE OBRA, A TRAVÉS DE LA RESOLUCIÓN DE GERENCIA MUNICIPAL N° 192-2025-GM/MPTAH (03/11/2025) 
PLAN DE CONTINGENCIA, NO SE ENCUENTRA CULMINADO
SALDO DE OBRA:  CON CONTRATO DE EJECUCIÓN DE OBRA DE FECHA 24/12/2025: CONTRATO N° 025-2025-MPTAH-GM - PLAZO: 180DC - MONTO: S/ 3,768,498.87
INICIO DE OBRA: 09/01/2026 - SUSPENSIÓN DE OBRA N°01: 30/01/2026, POR TEMPORADA DE LLUVIAS </t>
  </si>
  <si>
    <t xml:space="preserve">EJECUCIÓN  DE OBRA
OBRA  REINICIADA EL  DESDE EL 17,09,25
10/12/2025 MEDIANTE COMUNICACIÓN TELEFONICA CON LA ING SANDRA CHALLCO, ENCARGADA DE OBRAS DE LA UEI, MENCIONA QUE LA OBRA HA INGRESADO A SUSPENDIÓN DESDE EL 01/10/2025 DEBIDO A LAS PROTESTAS MINERAS DE LA ZONA LO CUAL HA ORIGINADO BLOQUEOS EN VIAS DE COMUNICACIÓN RESTRINGIENDO LA MOVILIZACIÓN Y TRANSPORTE TANTO DE PERSONAS COMO DE LOS MATERIALES ESCENCIALES PARA LA OBRA. (ADUNTÓ ACTA
INICIO: 02,11,2023
 LA OBRA REINICIO EL 21/04/2025 (REMITIÓ ACTA)
SUSPENDIÓN 01/06/2025 
  REINICIIO 17/09/2025  (REMITIÓ ACTA)
SUPENDIDA 01/10/2025 </t>
  </si>
  <si>
    <t>EJECUCIÓN  DE OBRA
04/02/2026 TIENE COMO FECHA DE FINALIZACION DE EJECUCION DE OBRA PROGRAMADA EL 26 ABRIL DEL 2026. 
29/12/2025 LA UEI HA REMITIDO VÍA TELEFONICA EL AVANCE DE LA EJECUCIÓN FISICA ACUMULADO ES DE 18.76% A NOVIEMBRE  2025 VS EL PROGRAMADO DE 18.53%.
FECHA DE INICIO DE OBRA 02/01/2025
FECHA DE CULMINACIÓN PROG  06/10/2025
REPROG  01/11/2025
REPROG  21/02/2026</t>
  </si>
  <si>
    <t>OBRA SUSPENDIA
29/12/2025 LA UEI HA REMITIDO VÍA COOREO ELECTRÓNICO DEL 29.12.25 EL AVANCE DE LA EJECUCIÓN FISICA ACUMULADO ES DE 90% A DICIEMBRE  2025, HABIENDO CULMINADO EL 02/12/2025 SIN EMBARGO NO HA ADJUNTADO EL ACTA DE RECEPCIÓN DE OBRA
05/11/2025 MEDIANTE INFORME N° 0870-2025-MINEDU-VMGI-PRONIED-UZDU, EL JEFE ZONAL REMITIÓ 03/11/2025, EL INFORME DEL MONITOR DE CAMPO MEDIANTE EL CUAL COMUNICA SOBRE LA VISITA TÉCNICA REALIZADA EL DÍA 15/10/2025, ALERTANDO QUE LA OBRA SE ENCONTRÓ EN EJECUCIÓN, EN LA CUAL SE HA IDENTIFICADO UN TRAMO DE APROXIMADAMENTE 4.50 METROS DE LONGITUD QUE NO PUEDE SER CULMINADO DEBIDO A LA OCUPACIÓN PARCIAL DEL ÁREA POR LA INFRAESTRUCTURA COLINDANTE PERTENECIENTE A LA MUNICIPALIDAD DISTRITAL DE HUAYLLABAMBA (ESCALERAS). A LA FECHA, DICHA INFRAESTRUCTURA NO HA SIDO DEMOLIDA, IMPIDIENDO LA CONTINUIDAD DE LOS TRABAJOS EN ESE SECTOR. DEL MISMO MODO, EL ALIMENTADOR PRINCIPAL DEL SUMINISTRO ELÉCTRICO ATRAVIESA EL ÁREA DE INTERVENCIÓN, INTERFIRIENDO CON LOS TRABAJOS PREVISTOS. LA REUBICACIÓN DEL MEDIDOR Y DEL ALIMENTADOR PRINCIPAL ES RESPONSABILIDAD DE LA EMPRESA CONCESIONARIA DE SERVICIOS ELÉCTRICOS DEL VALLE SAGRADO, ACCIONES QUE AÚN NO HAN SIDO EFECTUADAS POR LA MENCIONADA EMPRESA ELECTRICA.
INICIO DE OBRA 18,/12/2024 
CULMINACION PROGRAMADA  14/08/2025
CULMINACION REPROGRAMADA  23/10/2025</t>
  </si>
  <si>
    <t>LIQUIDACIÓN DE OBRA
 OBRA CULMINADA 06/03/2020 - ACTA RECEPCIÓN: 13/07/2020
CON LIQUIDACION DE OBRA:  RESOLUCIÓN DE ALCALDIA N° 0326-2020-MDLL
PENDIENTE UEI REMITA E INFORME SOBRE LIQUIDACIÓN DE SUPERVISIÓN DE OBRA Y ACTA DE TRANSFERENCIA DE IE, PARA EL CIERRE DEL PI
DESDE LA UGSC SE HA REMITIDO, EL OFICIO N° 1764-2025-MINEDU-VMGI-PRONIED-UGSC A LA OCI DE LA MP PIURA, COMUNICANDO EL INCUMPLIMIENTO DE REGISTRO DE INFORMACIÓN Y CIERRE DEL PROYECTO DE INVERSIÓN CON CUI Nº 2199289 A CARGO DE LA MD DE SAN MIGUEL DE LOMAS</t>
  </si>
  <si>
    <t>OBRA EN EJECUCION POR AI.
FECHA DE TERMINO PROGRAMADO: 29.01.2026
AVANCE FISICO ACUMULADO: 98,49% (VAL MARZO 2025)
MEDIANTE INFORME N° 000126-2026-MINEDU-VMGI-PRONIED-UZSANMARTIN (23.02.2026) EL MONITOR DE OBRA INFORMA QUE EN VISITA DEL 04 FEB 2026 VERIFICO LO SIGUIENTE:
- NO SE ENCONTRO A SUPERVISOR DE OBRA
- PLAZO CONTRACTUAL VENCIO  EL 29 ENE 2026 POR LO QUE SE VIENEN REALIZANDO TRABAJOS FUERA DE PLAZO
- CONTRATISTA AUN NO HA REALIZADO LA CONEXION A LAS ACOMETIDAS CONTEMPLADAS EN EL ET
MEDIANTE COMUNICACION ELECTRONICA (17.02.2026) LA SUB GERENTE DE OBRAS ALCANZO EL ACTA DE REINICIO DE OBRA, MEDIANTE LA CUAL SE VERIFICA QUE OBRA REINICIO EL 10 ENE 2026 TENIENDO COMO NUEVA FECHA DE TERMINO PROGRAMADO EL 29 ENE 2026.
ASIMISMO, ENTIDAD ALCANZO VALORIZACION CORRESPONDIENTE AL MES DE MARZO 2025, EN LA QUE SE EVIDENCIA QUE OBRA TIENE UN AVANCE FISICO ACUMULADO DE 98.49%. ENTIDAD INFORMA QUE VALORIZACION DE ENERO 2026 HA SIDO OBSERVADA.
MEDIANTE OFICIO N° 001587-2025-UGSC (02.09.2025) LA UGSC SOLICITA A UEI EL INFORME SITUACIONAL RESPECTO A LA IMPLEMENTACION DEL PLAN DE CONTINGENCIA.
AL RESPECTO, MEDIANTE OFICIO N°316-2025-MDJ-GM LA MD JEPELACIO INFORMA QUE LAS LABORES ACADEMICAS SE LLEVAN DESARROLLANDO EN LA IE 508 ROGELIA IZQUIERDO OLORTEGUI EN EL TURNO TARDE. ASIMISMO, INFORMA QUE DICHA IE, AL SER DE NIVEL PRIMARIA, CUENTA CON AMBIENTES REDUCIDOS Y MOBILIARIO INADECUADO.
MEDIANTE OFICIO N° 001226-2025-MINEDU-VMGI-PRONIED-UGSC (30.07.2025), LA UGSC COMUNICA A LA OCI DE LA MD JEPELACIO EL INCUMPLIMIENTO DEL CONVENIO N° 021-2022-MINEDU POR NO EJECUTAR EFICIENTEMENTE LOS RECURSOS TRANSFERIDOS.</t>
  </si>
  <si>
    <t>DS 122-2022</t>
  </si>
  <si>
    <t>LIQUIDAICÓN DE OBRA
INICIO DE OBRA: 04/10/2022, EJECUCIÓN 330 DC - FECHA DE CULMINACIÓN CONTRACTUAL:28/08/2023 - TIENE 02 SUSPENSIONES - 03 AMPLIACIONES DE PLAZO (91 DC) - 08 ADICIONALES APROBADOS POR DEFICIENCIAS DE ET.
LA OBRA TUVO CULMINACIÓN EL 29/03/2025 Y CUENTA CON ACTA DE VERIFICACIÓN Y RECEPCIÓN DE LA OBRA, LA CUAL FUE FIRMADA EL DIA 10/07/2025. SE CUENTA CON LA RESOLUCIÓN DE GERENCIA MUNICIPAL N° 144-2025-MDA/VRAEM-GM (19/09/2025) DE LA SUPERVISIÓN DE LA OBRA Y LA RESOLUCIÓN DE GERENCIAL MUNICIPAL N° 160-2025-MDA/VRAEM-GM (20/10/2025) DE LA EJECUCIÓN DE LA OBRA. A LA FECHA SE ENCUENTRA EN PROCESO DE TRANSFERENCIA A LA UGEL - HUANTA, ADEMAS INFORMAN QUE LUEGO DE LA TRANSFERENCIA AL SECTOR SE PROCEDERÁ A LA INAUGURACIÓN Y CIERRE DEL PROYECTO. SE DIO LA INAUGURACIÓN DE LA OBRA EL DIA 11/12/2025 CONTANDO CON LA PRESENCIA DE LA ZONAL DE AYACUCHO DE PRONIED.</t>
  </si>
  <si>
    <t xml:space="preserve">RECEPCIÓN DE OBRA
PLAZO 330 DC - SUCRIPCIÓN CONTRATO: 04/05/2023
ACTA DE INICIO DE OBRA CON FECHA 07/12/2023 - CULMINACIÓN CONTRACTUAL: 16/10/2024 - CULMINACIÓN 01/03/2025 
UEI REMITE ASIENTO DE CUADERNO DE OBRA INDICANDO CULMINACIÓN DE OBRA EL 01/03/2025
MEDIANTE RESOLUCIÓN DE ALCALDÍA N°443-2025-MDS-A (15/10/2025) CONFORMAN NUEVO COMITÉ DE RECEPCIÓN DE OBRA.
ACTA DE RECEPCIÓN DE OBRA, CON FECHA 11/12/2025. PENDIENTE DE INAUGURACIÓN </t>
  </si>
  <si>
    <t>DS 336 - 2025 - EF</t>
  </si>
  <si>
    <t>OBRA SUSPENDIDA
EL MINEDU HA REMITIDO EL 28.11.2025 AL MEF EL OFICIO N° 2855-MINEDU /SG CON LA PROPUESTA DE DECRETO SUPREMO QUE AUTORICE LA TRANSFERENCIA DE PARTIDAS PRESUPEUESTALES A FAVR FR LA RESERVA DE CONTINGENCIA Y DE DIVERSOSO GL PARA FINANCIAR LA CONTINUIDAD DE PI  
INICIO 06/11/2024 
CULMINACION  PROGRAMADA 02/08/2025
TERMINO  REPROGRAMADO ES EL 01/11/2025,
PLAZO 270DC</t>
  </si>
  <si>
    <t>DS N° 142-2012-EF</t>
  </si>
  <si>
    <t>LIQUIDACIÓN DE OBRA
LIQUIDACIÓN DE OBRA: RESOLUCIÓN GERENCIAL REGIONAL Nº 377-2019-GRH_GRI. (03.09.2019).
LIQUIDACIÓN SUPERVISIÓN: RESOLUCIÓN GERENCIAL REGIONAL Nº 588-2019-GRH_GRI. (13.12.2019)
UEI INDICA QUE EL PI SE ENCUENTRA CON CONTROVERSIA ARCHIVADA, SEGÚN DOCUMENTO DE LA PROCURADURÍA. DEJAN LIBRE DISPONIBILIDAD PIM 2025</t>
  </si>
  <si>
    <t>LIQUIDACIÓN DE OBRA
INICIO DE OBRA: 17/10/2023 - FIN DE OBRA: 12/07/2024 - PLAZO: 270 DIAS
ACTA DE RECEPCIÓN DE OBRA CON FECHA 30/09/2024
LIQUIDACIÓN DE OBRA: RGR N°818-2024-GRH/GRI (29/11/2024). LIQUIDACIÓN DE SUPERVISION DE OBRA: R.G.R N°48-2025-GRH-GRI (23/01/2025). 
UEI REGISTRA EN BANCO DE INVERSIONES EL 17/12/2025, INDICANDO QUE CULMINADA LA EJECUCIÓN DE LA OBRA AL 100%, QUE REMITIERON PARA LA SUSCRIPCIÓN A LA DIRECCIÓN REGIONAL DE EDUCACIÓN (DRE) MEDIANTE OFICIO N.° 000796-2025-GRH/GRI, CON FECHA 05 DE SEPTIEMBRE DE 2025.</t>
  </si>
  <si>
    <t xml:space="preserve"> SALDO DE OBRA
OBRA CULMINADA 01/06/2022 RECEPCIONADA 15/07/2022
EN LIQUIDACION DE OBRA, MEDIANTE RESOLUCION N° 268-2024-MDK/GDRI DE FECHA 26/04/2024 SE APRUEBA LA LIQUIDACION DE CONSULTORIA DE SUPERVISION POR EL MONTO DE S/ 100,320.68 Y MEDIANTE RESOLUCION N° 485-2022-MDK/DGDTI DE FECHA 02/12/2022 SE APRUEBA LA LIQUIDACION DEL CONTRATO DE SALDO DE OBRA POR EL MONTO DE S/ 3,551,845.78. 
A LA FECHA SE ENCUENTRA PENDIENTE LA INCORPORACION Y HABILITACION POR EL MONTO DE S/ 40,419.09 PARA EL PAGO DE LIQUIDACIONES PENDIENTES.
</t>
  </si>
  <si>
    <t>LIQUIDACIÓN DE OBRA
OBRA CULMINADA 28/04/2016 - ACTA DE RECEPCION DE OBRA DE FECHA 12/09/2016. 
 TIENE PENDIENTE DE LIQUIDAR LOS GASTOS POR ADMINISTRACION DIRECTA
RESOLUCIÓN DE LIQUIDACIÓN DE OBRA: R.G.R N°702-2016-GRH-GRI (22/12/2016). LIQUIDACIÓN DE SUPERVISION: R.G.R N°020-2017-GRH-GRI (20/01/2017). LIQUIDACIÓN DE EXPEDIENTE TECNICO: GRG N°008-2024-GRH/GRI (08/01/2024).
UEI RGISTRA EN BANCO DE INVERSIONES EL 09/10/2025 QUE HA CULMINADO LA EJECUCION DE LA OBRA PRINCIAL CON ACTA DE RECEPCIÓN. EXISTE UNA OBRA COMPLEMENTARIA QUE AÚN NO HA SIDO RECEPCIONADA DEBIDO A OBSERVACIONES REALIZADAS POR EL COMITÉ DE RECEPCIÓN DE OBRA.</t>
  </si>
  <si>
    <t>CULMINACION DE OBRA
29/12/2025, MEDIANTE EXPEDIENTE I-009608-2025, SE REMITE OFICIO N° 002373-2025-MINEDU-VMGI-PRONIED-UGSC, REITERANDO SOLICITUD DE ESTADO SITUACIONAL
CON EXPED. I-023342-2025. LA UZ. REMITE EL INFORME N° 000144-2025-JZA-MINEDU-VMGI-PRONIED-UZPU, DE LA VISITA DE OBRA DE 19/8/2025:
-AVANCE FISICO EJEC. ACUM.: 100.00% FEB 2025 
-AVANCE FISICO PROG. ACUM.: 100.00% FEB 2025, SEGUN CRONOGRAMA ACTUALIZADO
OBRA POR AD. SEGUN SSI  ( CURVA S Y VALORIZACION N°10) INDICA QUE OBRA CUENTA CON UN AVANCE DE 100% Y SE ENCUENTRA CULMINADA EL 24/02/2025. ASIMISMO SEGUN FICHA TECNICA Y PORTALES DE COMUNICACION INDICA QUE OBRA HA SIDO INAUGURADA EL 04/03/2025 SIN PRESENCIA DE PRONIED.
INICIO OBRA_16/05/24
PLAZO _250 DC
FIN OBRA_24/02/2025</t>
  </si>
  <si>
    <t xml:space="preserve">LIQUIDACION DE OBRA
OBRA AUN ESTA EN PROCESO DE LA LIQUIDACION DE SUPERVISION. 
OBRA CONCLUYO EL 30/09/2019
LIQUIDACION APROBADA AL CONTRATISTA POR MEDIO DE LA RESOLUCION GERENCIAL REGIONAL N°130-2020-GRI-GR PUNO, DEL 30/10/21 POR EL MONTO DE S/7,495,29978. 
CUENTA CON  RESOLUCION GERENCIAL REGIONAL  N°170-2020-GRI-GR A LA SUPERVISION , POR EL MONTO DE S/ 201,147,91 CON UN SALDO A FAVOR S/44,619,59 POR PAGAR, EL CUAL A LA FECHA NO SE HA CANCELADO POR UNA DIFERENCIA EN EN LA PARTE RESOLUTIVA QUE SEGUN LA OFICINA REGIONAL DE SUPERVISION Y LIQUIDACION DE INVERSIONES NO CORRESPONDE. Y QUIEREN IMPLEMENTAR LA RECTIFICACION DE LA RESOLUCION A FIN DE PROCEDER CON EL PAGO.
</t>
  </si>
  <si>
    <t>DS N° 167-2015-EF</t>
  </si>
  <si>
    <t>LIQUIDACIÓN DE OBRA
INFRAESTRUCTURA_OBRA CULMINADA: 17/03/2016 RECPECIÓN DE OBRA: 26/11/2017 - RESOLUCIÓN DE LIQUIDACIÓN DE OBRA: R.G.R N°112-2018-GRH-GRI (23/03/2018), DE LIQUIDACIÓN DE SUPERVISION: R.G.R N°182-2018-GRH-GRI (20/04/2018)
CERCO Y MOBILIARIO - EJECUTADO POR ADM DIRECTA_OBRA CULMINADA: 09/11/2018 RECPECIÓN DE OBRA: 27/03/2019 - LIQUIDACIÓN LIQUIDACIÓN DE OBRA DEL CERCO Y MOBILIARIO: R.G.R N°224-2024-GRH-GRI (11/04/2024)
DESDE LA UGSC, SE HA REMITIDO A LA OCI DEL GOBIERNO REGIONAL, EL DÍA 02/09/2025 EL OFICIO N° 1580-2025-MINEDU/VMGI-PRONIED-UGSC, COMUNICANDO INCUMPLIMIENTO DEL CONVENIO Nº 630-2015-MINEDU Y CONVENIO N° 107-2017-MINEDU, EN RELACIÓN AL PROYECTO DE INVERSIÓN CON CUI N° 2123984, A CARGO DEL GOBIERNO REGIONAL DE HUÁNUCO (COMUNICANDO QUE EXISTEN OBSERVACIONES)</t>
  </si>
  <si>
    <t>SALDO DE OBRA</t>
  </si>
  <si>
    <t>SALDO DE OBRA - EN PROCESO DE ELABORAR ET SALDO DE OBRA
OBRA PRINCIPAL: ELABORACION EXP. SALDO DE OBRA
CONTRATO INICIAL: 14/11/2017, SUMA ALZADA CON PLAZO: 120 D.C
CONTRATO RESUELTO: RESOLUCION CONTRATO N°134-2017-GRH/GR DE EJECUCIÓN DE OBRA, A TRAVÉS DE RESOLUCIÓN EJECUTIVA REGIONAL N° 498-2019-GRH/GR (19/06/19) POR ACUMULACIÓN DE MONTO MÁXIMO DE PENALIDADES POR MORA - % EJECUTADO: 85.25
SALDO DE OBRA: GOBIERNO REGIONAL DE HUANUCO, EMITIÓ OS 3306-2024 (18/12/2024) CORRESPONDIENTE AL SERVICIO PARA SUPERVISIÓN Y EVALUACIÓN DE LA REFORMULACIÓN DEL ET DEL SALDO DE OBRA. ADEMÁS CON OS 3874-2025 (04/12/2025) DEL SERVICIO DE CONSULTORIA DE OBRA PARA LA REFORMULACIÓN DEL ET DEL SALDO DE OBRA, QUE COMPRENDE 03 ENTREGABLES, ACTUALMENTE EL SEGUNDO ENTREGABLE SE ENCUENTRA EN DESARROLLO CON LA APROBACIÓN PROGRAMADA EL 30/04/2026 Y LA APROBACIÓN DEL ET EL 04/11/2026
UUNIDAD ZONAL REMITE INFORME N° 000011-2026-MINEDU-VMGI-PRONIED-UZHU (12/01/2026) TRASLADANDO INFORME DE INSPECCIÓN DE MONITOR DE CAMPO EL DÍA 04/12/2025, INDICANDO QUE ESTUVO PRESENTE AGENTE MUNICIPAL Y POBLADOR DE LA MUNICIPALIDAD, REPORTA OBRA ABANDONADA CON 03 PABELLONES A NIVEL DE CASCO CON ALGUNOS AVANCES ACABADOS. ADEMÁS CONSTRUCCIÓN DE CERCO PERIMÉTRICO DE MUROS DE ALBAÑILERIA EN TRES LADOS Y MUROS DE DE CONCRETO AFECTADOS POR DESLIZAMIENTO DE TALUD. Y COMUNICARON VISITA DE CGR EN TRES OCASIONES EN EL AÑO 2025. SOBRE LOS ESTUDIANTES, DIRECTOR HA INDICADO QUE SE ENCUENTRAN EN LOCAL COMUNAL. LA SUBGERENCIA DEL GOBIERNO REGIONAL INDICA QUE SE ENCUENTRA EN ELABORACIÓN BAJO MODALIDAD DE CONTRAR EL ET DE REFORMULACIÓN DE SALDO DE OBRA, CON UN PLAN DE 03 ENTREGABLES</t>
  </si>
  <si>
    <t>OBRA CULMINADA (MAY 2024) Y RECEPCIONADA (MAR 2025) .
MEDIANTE OFICIO N° 002106-2025-MINEDU-VMGI-PRONIED-UGSC (06.11.2025) SE COMUNICA A LA ENTIDAD EL INCUMPLIMIENTO DE REGISTRO DE INFORMACIÓN Y CIERRE DEL PI EN EL BANCO DE INVERSIONES; ASIMISMO SE LE SOLICITA REMITIR UN INFORME DETALLADO QUE CONTENGA LA ACTUALIZACION DEL FORMATO N° 12B, DOCUMENTO QUE ACREDITE LIQUIDACION TECNICA FINANCIERA DEL PROYECTO Y DOCUMENTO QUE ACREDITE CIERRE DE PI A TRAVÉS DE FORMATO N° 09.
MEDIANTE COMUNICACION TELEFONICA (31.03.2025) COORDINADOR DE PROYECTO INFORMA QUE COMITÉ DE RECEPCION SE APERSONO EN LA OBRA EL DÍA 28 MARZO 2025 Y VERIFICO LA SUBSANACION DE OBSERVACIONES POR LO QUE SE PROCEDIO A RECEPCIONARLA, LO CUAL SE VERIFICA EN ACTA DE RECEPCION DE OBRA.
CABE MENCIONAR QUE MEDIANTE CORREO ELECTRONICO (31.03.2025) SE HA TRASLADADO DICHA ACTA DE RECEPCION A LA OFICINA DE COMUNICACIONES DE PRONIED PARA LOS FINES CORRESPONDIENTES. FINALMENTE, EL 02 ABR 2025 SE LLEVÓ A CABO LA INAUGURACION DE LA OBRA PARTICIPANDO POR PARTE DE PRONIED LA UNIDAD ZONAL JUNIN.
MEDIANTE CORREO ELECTRONICO (15.08.2025) SE LE HA SOLICITADO A LA ENTIDAD EL INFORME SITUACIONAL MENSUAL DEL PI.</t>
  </si>
  <si>
    <t xml:space="preserve">EJECUCION DE OBRA - SALDO DE OBRA N°01
OBRA PRINCIPAL_
CULMINACION ASITEC: 17/01/2021
OBRA CON BUENA PRO EL 30/12/2021 NO LOGRARON COMPROMETER LOS RECURSOS Y REVIRTIERON DICHO PRESUPUESTO EL 2021 Y EL SIGUIENTE AÑO 2022, INICIO OBRA EJECUTADA DIRECTAMENTE CON SUS RECURSOS HASTA LA FECHA.
INICIO EJECUCION OBRA PRINCIPAL: 14/03/2022 POR UN PLAZO DE 540 D.C
PARALIZACION: 03/01/2023
1ER SUSPENSION DE OBRA POR 114 DC. REINICIO DE OBRA 28/04/2023 Y NUEVA FECHA DE TERMINO 27/12/2023
FINANCIAMIENTO: MODALIDAD POR CONTRATA, TUVO TRANSFERENCIA POR EL DS 257-2021-EF
OBRA PRINCIPAL %: 24.85%
CONTRATO RESUELTO: OCTUBRE 2023 
INDICA QUE SE HA REALIZADO LA VERIFICACION Y CONSTATACION CORRESPONDIENTE Y ACTUALMENTE LA ELABORACION DEL EXPEDIENTE DE SALDO DE OBRA ESTA EN PROCESO DE SELECCION EN LA ETAPA DE PRESENTACION DE OFERTAS DE CONVOCATORIA AUN SIN FECHA ESTABLECIDA.
OFICIO N°000148-2024-GRP/PPR, INDICA QUE OBRA CUENTA CON UN LAUDRO ARBITRAL DE S/ 25,041.00, POR EL PAGO POR HONORARIOS ARBITRAL Y GASTOS ADMINSITRATIVOS DEL CENTRO DE ARBITRAJE CASO ARBITRAL N°028-2023/ACNAD-PR
SALDO DE OBRA N°01_ATRASADA
INICIO SALDO_06/11/2024
CULMINACION _28/02/2026
PLAZO_ 480DC
MODALIDAD ADM DIRECTA
-AVANCE FIS.EJEC. 10,45% (VALORIZ. JUNIO-2025)
-AVANCE  FISICO PROGRAMADO 31,25% (VALORIZ-JUNIO-2025)
OBRA EN EJECUCION ATRASADA
OBRA SIN CONVENIO - / D.S. 257-2021-MEF
MODALIDAD ADM DIRECTA
SALDO DE OBRA N°01
-F. DE ENTREGA DE TERRENO: 06/11/2024
-INICIO  DE SALDO DE OBRA: 06/11/2024
-CULMINACION _28/02/2026
-PLAZO_ 480DC
AVANCE DE OBRA:
-AVANCE FIS.EJEC. 10,45% (VALORIZ. JUNIO-2025)
-AVANCE  FISICO PROGRAMADO 31,25% (VALORIZ-JUNIO-2025)
OBRA EN EJECUCION ATRASADA
MODALIDAD ADM DIRECTA
SALDO DE OBRA N°01
-F. DE ENTREGA DE TERRENO: 06/11/2024
-INICIO  DE SALDO DE OBRA: 06/11/2024
-CULMINACION _28/02/2026
-PLAZO_ 480DC
DEL SEGUIMIENTO EN EL SSI MEF, AL [19/12/2025] AL MES DE noviembre 2025, SE TIENE UN AVANCE ACUMULADO POR SALDO DE OBRA DE 26.18% Y SIENDO SU PROGRAMACIÓN FÍSICO ACUMULADO DEL 445.24%. 
*DEMORA DE REQUERIMIENTOS DE BIENES Y SERVICIOS.
*REUNIONES CON ADMINISTRATIVOS PARA DAR CELERIDAD A LOS REQUERIMIENTOS
</t>
  </si>
  <si>
    <t>EL PROYECTO REQUIRE DE FINANCIAMIENTO PARA EL CIERRE DEL PROYECTO, EL PRESENTE AÑO SE LES FINANCIÓ, SIN EMBARGO NO FUE POR LA TOTALIDAD DE LO PENDIENTE POR FINANCIAR. 
inicio 11/01/2023
Culminación: 27/08/2023 
Recepción: 25/09/2023
Liquidación: 19/10/2023
RESOLUCIÓN DE ALCALDÍA N° 190-2023-MDB-A 19 de octubre 2023</t>
  </si>
  <si>
    <t xml:space="preserve">OBRA RECEPCIONADA
LA OBRA SE ENCUENTRA CULMINADA (14/12/2019) Y RECEPCIONADA (25/02/2020),TIENE UN AVANCE FÍSICO AL 100% Y UN AVANCE FINANCIERO ACUMULADO AL 97.3%. HASTA LA FECHA EL PROYECO NO HA SIDO LIQUIDADO, LA UEI RECEPCIONÓ LAS 8 OBRAS EN SU MOMENTO, SIN EMBARGO CUENTAN CON OBSERVACIONES, SE TIENEN ACTA DE CESIÓN DE USO TEMPORAL DE LA INFRAESTRUCTURA EDUCATIVA SOLO DE 07 IIEE. LA UEI INDICO QUE SE REALIZARIA LA LIQUIDACIÓN DE OFICIO, LA UEI SOLICITA A LA ZONAL MEDIANTE OFICIO N 134-2024-MDQ/GM (21/10/2024), INFORMACIÓN RESPECTO A LA OBRA Y COPIA DE LA LIQUIDACIÓN DE EJECUCION DE PROYECTO DE INVERSIÓN.
SE NOTIFICÓ MEDIANTE  CORREO ELECTRÓNICO AL GOBIERNO REGIONAL CON FECHA 03/12/2025, EL OFICIO N°2238-2025-MINEDU/VMGI-PRONIED-UGSC DONDE SE COMUNICA INCUMPLIMIENTO DE REGISTRO DE INFORMACIÓN Y CIERRE DEL PROYECTO DE INVERSIÓN CON CUI N° 2329614, A CARGO DE LA MUNICIPALIDAD DISTRITAL DE QUEROCOTO.
</t>
  </si>
  <si>
    <t xml:space="preserve">EN EJECUCIÓN DE OBRA
PROYECTO APTO EN ASITEC
PROYECTO CONSIDERADO EN EL ANEXO 08 Y IX, DE LA LEY DE PPTO 2025. A TRAVÉS DEL CUAL, ASIGNAN S/ 6,955,780,00 
ACTA DE ENTREGA DE TERRENO 01/10/2025
EL 16/10/2025 SE LLEVÓ A CABO LA VISITA INOPINADA DE INSPECCIÓN A LA OBRA, VERIFICANDO QUE LA OBRA SE ENCUENTRA EN EJECUCIÓN. SE INGRESÓ TRAVÉS DE MESA DE PARTES DE LA MUNICIPALIDAD LA NOTIFICACIÓN N° 08-2025-MINEDU/VGMI-PRONIED/UGSC, ALERTANDO QUE NO CUENTAN CON ACTA DE INICIO DE OBRA, NO CUENTAN CON ENERGÍA ELÉCTRICA SIENDO ABASTECIDO POR LA IE DOS DE MAYO, QUE EXISTE UNA VIVIENDA DENTRO DEL PERÍMETRO DEL TERRENO Y 04 MÓDULOS PREFABRICADOS SIENDO 03 INSTALADOS BAJO CONTRATO DE PRONIED.
UEI REGISTRA EN BANCO DE INVERSIONES EL 22/10/2025, QUE EL PROYECTO SE ENCUENTRA EN EJECUCIÓN, CON CONTRATO DE EJECUCIÓN DE OBRA N° 0005-2025-MPM-CH (01/08/2025), CON ACTA DE INICIO DE FECHA 02/09/2025. ENTREGO LOS ADELANTOS DIRECTO Y DE MATERIALES. PENDIENTE MUNICIPALIDAD REMITA ACTA DE INICIO DE OBRA A PRONIED
SE VERIFICA EN PLATAFORMA SEACE, QUE LA MUNICIPALIDAD Y EL CONSORCIO 02 DE MAYO HAN SUSCRITO EL CONTRATO DE EJECUCIÓN DE OBRA N° 005-2025-MPM-CH, CON FECHA 01/08/2025. CON PLAZO DE EJECUCIÓN: 450 DC Y MONTO: S/ 21,923,461,46 </t>
  </si>
  <si>
    <t>RECEPCIÓN DE OBRA E INAGURADA
29/12/2025: DESDE LA UGSC CON FECHA 29/12/22025 SE NOTIFICÓ A LA UEI, VÍA CORREO ELECTRÓNICO, EL OFICIO N° 2361-2025-MINEDU-VMGI-PRONIED-UGSC Y EL INFORME N° 1990-2025-COMS LOS CUALES SE SOLICITA A LA UEI EFECTÚE EL CIERRE DE PI Y REMITA UN INFORME SOBRE LAS ACCIONES REALIZADAS PARA EL CIERRE DEL MISMO
27/05/2025 EN COMUNICACIÓN TELEFONICA CON EL ING ISACC ABREGUC, GERENTE DE INFRAESTRUCTURA COMUNICA DEL PI LO SGTE:
LA IE JUAN VELAZCO ALVARADO DEL C.P 3 DE AMYO  YA SE ENCUENTRA CULMINADA E INAGURADA 
LA IE JUAN MARIO VARGAG LLOSA  SE EJECUTÓ EL SALDO DE OBRA Y
ESTÁ  PREVISTA 
  SE EJECUCTÓ COMO SALDO DE OBRA AL HABER SIDO RESUELTO EL CONTRATO DEL EJECUTOR.
INICIO 15/01/2015,  
CULMINÓ EL 03/05/2025 Y
RECEPCIONADA EL 30/05/2025
INAGURACIÓN 04/06/2025  
OBRA PRINCIPAL: CON CONTRATO RESUELTO, INICIÓ OBRA EL 12/01/2017, CON PLAZO DE EJECUCIÓN: 180DC, CONTRATISTA NO CUMPLIÓ EJECUCIÓN EN PLAZO ESTIPULADO Y ENTIDAD RESUELVE CONTRATO DE OBRA A TRAVÉS DE RESOLUCIÓN GERENCIAL Nº099-2018-MDQ/GM (27/06/2018) TENIENDO UN AVANCE DE 72,39% (IE JESUS ALVARADO 83,14% IE MARIO VARGAS LLOSA 59,31%)
SALDO DE OBRA: UEI APRUEBA ET DE SALDO DE OBRA A TRAVÉS DE RESOLUCIÓN GERENCIAL Nº112-2018-MDQ/GM (25/07/2018), EL 01/10/2018 INICIA EJECUCIÓN POR ADM DIRECTA, CON PLAZO DE EJECUCIÓN: 90DC, PARALIZANDO LA EJECUCIÓN EL 20/12/2018 CON UN AVANCE 48,91% (NO SE CUENTA CON ACTA DE PARALIZACIÓN, SOLO INFORME UEI COMUNICANDO PARALIZACION) IIEE EJECUTADOS CON DEFICIENCIAS TÉCNICAS
SALDO DE OBRA IE MARIO VARGAS LLOSA: MUNICIPALIDAD HA CONVOCADO EL PROCESO DE SELECCIÓN (AS-SM-6-2024-MDQ/CS-1), CON CONTRATO DE EJECUCIÓN DE OBRA Nº 004-2024-GM/MDQ CON FECHA DE SUSCRIPCIÓN 23/12/2024. 
MUNICIPALIDAD DISTRITAL DE QUICHUAS INDICA: IE MARIO VARGAS LLOSA: LA EJECUCIÓN DEL SALDO DE OBRA SE APRUEBA LA CONTRATACIÓN DE LA EJECUCIÓN DE OBRA (S/ 683,046,42), A TRAVÉS DE LA RESOLUCIÓN DE GERENCIA MUNICIPAL Nº 51-2024-GM/MDQ (26/11/2024) Y A TRAVÉS DE LA RESOLUCIÓN DE GERENCIA MUNICIPAL Nº 140-2024-GM/MDQ (07/11/2024) APRUEBAN EL ET DE SALDO DE OBRA, CON UN PLAZO DE EJECUCIÓN DE 75DC POR ADM INDIRECTA (S/ 738,953,04). ADEMÁS SEÑALA: IE JUAN VELASCO ALVARADO SE ENCUENTRA EN FUNCIONAMIENTO CON PERSONAL ADMINISTRATIVO, DOCENTE Y ALUMNADO (ESTARÍA PENDIENTE LA IMPLEMENTACIÓN DE EQUIPAMIENTO, MOBILIARIO)</t>
  </si>
  <si>
    <t>ET APTO PARA FINANCIAMIENTO</t>
  </si>
  <si>
    <t xml:space="preserve">LA  ASIST TECNICA HA CULMINADO, EL PROYECTO SE ENCUENTRA EN ESTADO DE APTO PARA FINANCIAMIENTO. SE ENCUENTRA IDENTIFICADO EN EL ANEXO 8 DE LA LEY DE PRSUPUESTO 2025 </t>
  </si>
  <si>
    <t>DS 267-2025-EF</t>
  </si>
  <si>
    <t>OBRA_EN PROCESO SELECCIÓN</t>
  </si>
  <si>
    <t xml:space="preserve"> A LA FECHA LA LP-SM-E-2025-MDSJL/CS-1 CORRESPONDIENTE A LA EJECUCIÓN DE OBRA, SE ENCUENTRA EN ESPERA DE PRONUNCIAMIENTO DEL OECE EN RELACIÓN CON LA ELEVACIÓN DE OBSERVACIÓN PARA CONTINUAR CON LA CONVOCATORIA; POR OTRO LADO, EL CP CON-SM-2-2025-MDSJL/C-1 CORRESPONDIENTE A LA SUPERVISIÓN DE OBRA SE ENCUENTRA CONSENTIDO A FAVOR DEL CONSORCIO LOURDES.
SE NOTIFICÓ MEDIANTE CORREO ELECTRÓNICO A LA MUNICIPALIDAD CON FECHA 28/11/2025, EL OFICIO N° 2289-2025-MINEDU/VMGI-PRONIED-UGSC CON ASUNTO: REMISIÓN DE INFORMACIÓN EN EL MARCO DE LAS OBLIGACIONES  A CUMPLIR POR LA ENTIDAD EN RELACIÓN AL CONVENIO SUSCRITO Y EL USO DE LOS RECURSOS GESTIONADOS POR EL MINEDU. ADEMAS SEGUN EL SEACE SE TIENE QUE EL CP CON-SM-2-2025-MDSJL/C-1 CORRESPONDIENTE A LA SUPERVISIÓN DE OBRA SE ENCUENTRA CONSCENTIDO A FAVOR DEL CONSORCIO LOURDES, PENDIENTE DEL CONTRATO.
</t>
  </si>
  <si>
    <t>DS 198-2025-EF</t>
  </si>
  <si>
    <t>OBRA SUSPENDIDA (EN EJECUCION POR AI).
INICIO DE EJECUCION: 28.11.2025
PLAZO DE EJECUCION: 180 DC
CULMINACION PROGRAMADA: 26.05.2025
AVANCE FÍSICO ACUMULADO: 28.54% (VAL ENE 2026)
MEDIANTE COMUNICACION ELECTRONICA UEI ALCANZA ACTA DE SUSPENSION MEDIANTE LA CUAL SE ESTABLECE QUE OBRA SE ENCUENTRA SUSPENDIDA DESDE EL 23 FEB 2026 DEBIDO A INTENSAS PRECIPITACIONES PLUVIALES.
MEDIANTE INFORME N° 000104-2026-MINEDU-VMGI-PRONIED-UZSANMARTIN (13.02.2026) MONITOR DE OBRA INFORMA QUE EN VISITA DEL 04 FEB 2026 VERIFICÓ LO SIGUIENTE:
- SE HA CULMINADO CON LA EJECUCION DEL PLAN DE CONTINGENCIA
- SE HA REALIZADO LA DEMOLICION DE EDIFICACIONES EXISTENTES AL 100%
- ACOPIO DE ACERO CORRUGADO Y CEMENTO NO SE ESTA AISLANDO DE MANERA ADECUADA PARA EVITAR LA HUMEDAD DEL PISO
ASIMIMO,  MEDIANTE OFICIO Nº 141-2026-A-MDESV (23.02.2026) LA UEI INFORMA QUE AL MES DE ENE 2026 EL AVANCE FÍSICO REAL ACUMULADO DE LA OBRA ES DE 28.54% VS 24.76% PROGRAMADO, ENCONTRANDOSE ADELANTADA SEGUN SE VERIFICA EN CURVA S. 
ASIMISMO ENTIDAD INFORMA QUE NO SE HA OTORGADO ADELANTO DIRECTO NI DE MATERIALES.
PI CON CONVENIO N° 025-2025-MINEDU (09.07.2025), RECIBIO S/ 2,015,749.00 MEDIANTE EL DS 198-2025-EF (20.09.2025).
CON FECHA 09 JUL 2025 SE SUSCRIBIO EL CONVENIO N° 025-2025-MINEDU EN LA QUE SE ESTABLECE COMO COMPROMISO POR PARTE DE MINEDU LA GESTION DE LA TRANSFERENCIA 2025 DE S/ 2,015,749.69 Y LA TRANSFERENCIA 2026 DE S/ 3,162,273.94.</t>
  </si>
  <si>
    <t>DS 297-2023-EF</t>
  </si>
  <si>
    <t>SUSPENDIDA
LA OBRA SE ENCUENTRA SUSPENDIDA, CON ACTA DE SUSPENSION DE PLAZO DE EJECUCION DE OBRA N 03 CON FECHA 14/11/2025 MEDIANTE EL ASIENTO DE CUADERNO DE INCIDENCIAS DE OBRA N 234 DEL RESIDENTE, INDICANDO QUE SE DA LA SUSPENSION DE PLAZO POR INCUMPLIMIENTO DE PAGO DE  LAS VALORIZACIONES AL CONTRATISTA, ADEUDANDO PARCIALMENTE LA VALORIZACION DE JUNIO Y PAGO COMPLETO DE LOS MESES, JULIO, AGOSTO, SETIEMBRE. LA VALORIZACIÓN DE OCTUBRE SE ENCUENTRA ACTUALMENTE EN REVISIÓN POR LA UNIDAD EJECUTORA.
AL MES DE OCTUBRE, CUENTACON UN AVANCE FÍSICO EJECUTADO AL 50,12% VS UN AVANCE PROGRAMADO AL 53,97%, ENCONTRANDOSE LA OBRA RETRASADA.
 SE NOTIFICÓ MEDIANTE  CORREO ELECTRÓNICO A LA MUNICIPALIDAD CON FECHA 10/12/2025, EL OFICIO N°2337-2025-MINEDU/VMGI-PRONIED-UGSC DONDE SE COMUNICA SOLICITUD DE INFORMACIÓN DEL PROYECTO DE INVERSIÓN CON CUI N°2522406, A CARGO DEL MUNICIPALIDAD DISTRITAL DE NINABAMBA.</t>
  </si>
  <si>
    <t xml:space="preserve">OBRA CULMINADA (11.08.2017), RECEPCIONADA (31.08.2017) Y CUENTA CON LIQUIDACION DE OBRA APROBADA MEDIANTE R.G.T.B.M. N° 157-2017-GRSM/GTBM-T (10.11.2017)
MEDIANTE OFICIO N° 683-2025-GRSM-GTBM-T (22.09.2025) EL GR INFORMA QUE PROCESO PENAL A LA EMPRESA CONTRATISTA ENCARGADA DE LA EJECUCIÓN DEL PI HA CONCLUIDO POR LO QUE SE ENCUENTRA EN PROCESO DE RECOPILACION DE DOCUMENTACION PARA POSTERIORMENTE PROCEDER CON LA TRANSFERENCIA DE OBRA.
MEDIANTE OFICIO N° 164-2025-GRSM-GTBM-T (06.03.2025) EL GR RESPONDE AL OFICIO 085-2025-MINEDU/VMGI-PRONIED-UGSC (20.02.2025) E INFORMA QUE EL PROYECTO CUENTA CON LIQUIDACION TECNICA FINANCIERA APROBADA MEDIANTE R.G.T. N° 021-2021-GRSM/GTBM-T Y QUE SE VIENE REALIZANDO EL EXPEDIENTE DE TRANSFERENCIA DE LA OBRA. POR OTRO LADO, EL GR INFORMA QUE LA EMPRESA CONTRATISTA ENCARGADA DE LA EJECUCIÓN DEL PI CUENTA CON UN PROCESO PENAL EN TRÁMITE.
</t>
  </si>
  <si>
    <t xml:space="preserve">LIQUIDACIÓN DE OBRA 
INICIO DE OBRA: 16/01/2017 - CULMINACIÓN: 31/05/2018 - RECEPCIÓN: 09/08/2018 - LIQUIDACIÓN DE OBRA: RESOLUCIÓN DE ALCALDÍA Nº 179-2018-MPP-A (03/12/2018)
PENDIENTE LIQUIDACIÓN DE CONTRATO DE SUPERVISIÓN Y EN PROCESO DE FIRMA DE ACTA DE TRANSFERENCIA 
DESDE LA UGSC SE HA REMITIDO, EL OFICIO N° 1920-2025-MINEDU-VMGI-PRONIED-UGSC, EL 16/10/2025 A LA OCI DE LA MP PACHITEA, COMUNICANDO EL INCUMPLIMIENTO DE REGISTRO DE INFORMACIÓN Y CIERRE DEL PROYECTO DE INVERSIÓN CON CUI Nº 2241668 </t>
  </si>
  <si>
    <t xml:space="preserve">LIQUIDACIÓN DE OBRA
LA OBRA SE ENCUENTRA CULMINADA (11/07/2018), RECEPCIONADA (12/09/2018) Y LIQUIDADA (2018-2019), TIENE UN AVANCE FÍSICO ACUMULADO AL 100% Y UN AVANCE FINANCIERO ACUMULADO AL 100%. CUENTA CON  RESOLUCION DE ALCALDIA N° 590-2018-MPCH-A (27/12/2018) DE LIQUIDACION DE OBRA Y RESOLUCIÓN DE GERENCIA MUNICIPAL N° 169-2019-MPCH/GM (26/11/2019) DE SUPERVISIÓN.
LA UEI INFORMA QUE MEDIANTE OFICIO N° 0051-2025-MPCH-GM (25/02/2025), EL CUAL TRANSLADA EL INFORME N° 0157-2025-MPCH-GI-SSL (24/02/2025) DONDE INDICAN QUE AL ENCONTRAR OBSERVACIONES DE LA UGEL, SE REALIZO LA ELABORACIÓN DEL EXPEDIENTE PARA EL MANTENIMIENTO DE LA INSTITUCIÓN EDUCATIVA N° 10391, POR LO TANTO MEDIANTE CARTA N° 0242-2025-MPCH/GI (15/02/2025) LA GERENCIA DE INFRAESTRUCTURA HA SOLICITADO LA DISPONIBILIDAD PRESUPUESTAL PARA ACTIVIDAD DE MANTENIMIENTO POR UN MONTO DE S/ 32,458.93.
SE NOTIFICÓ MEDIANTE  CORREO ELECTRÓNICO AL ORGANO DE CONTROL INSTITUCIONAL DE HUAMANGA CON FECHA 04/08/2025, EL OFICIO N°  1292-2025-MINEDU/VMGI-PRONIED-UGSC DONDE SE COMUNICA INCUMPLIMIENTO DE REGISTRO DE INFORMACIÓN Y CIERRE DEL PROYECTO DE INVERSIÓN CON CUI 2281029.
</t>
  </si>
  <si>
    <t>OBRA RECEPCIONADA
LA OBRA SE ENCUENTRA CULMINADA (28/06/2018) Y RECEPCIONADA (27/08/2018), TIENE UN AVANCE FÍSICO ACUMULADO AL 100% .  LA UEI REMITE EL OFICIO N° 0249-2024-MDLE/A (17/09/2024) EN EL RESPUESTA A LA NOTIFICACIÓN N° 01-024/MINEDU-VMGIPRONIED-UZ Y TRANSLADA EL INFORME N° 41-2024-MDLE/GIDUR/E (16/09/2024) DONDE INFORMAN SOBRE EL ESTADO SITUACIONAL DE AMBAS IIEE:
-454_MIRAFLORES, LA INFRAESTRUCTURA, EQUIPAMIENTO Y MOBILIARIO HAN SIDO TRANSFERIDOS EN SU TOTALIDAD A LA UGEL SANTA CRUZ.
-448_LA ESPERANZA, LA INFRAESTRUCTURA CONSTRUIDA SE ENCUENTRA EN ESTADO INHABITABLE, SE INDICA QUE SE SOLICITO OPINIÓN LEGAL N° 043-2024-MDLE/GAJ (12/09/2024) DONDE SE CONCLUYE QUE SE EVALUARA LA RESPONSABILIDAD DE CADA FUNCIONARIO E INTEGRANTE QUE PARTICIÓ EN EL PROYECTO.
SE REMITIO OFICIO N° 0288-2024-MDLE/A (27/11/2024) MEDIANTE EL CUAL TRANSLADA LA INFORMACIÓN RECOPILADA RESPECTO AL PROYECTO DE INVERSIÓN.</t>
  </si>
  <si>
    <t>OBRA CULMINADA (21.03.2021) CON OBSERVACIONES A LA RECEPCIÓN DE OBRA.
MEDIANTE OFICIO N° 000139-2026-MINEDU-VMGI-PRONIED-UGSC (17.02.2026), SE HA SOLICITADO A LA ENTIDAD EL INFORME SITUACIONAL MENSUAL DEL PI.
AL RESPECTO, MEDIANTE OFICIO N° 144-2026-GRA/SGELP (09.03.2026) INFORMA QUE AL NO CONTAR CON LA DOCUMENTACION MINIMA REQUERIDA PARA EFECTUAR LA LIQUIDACION FISICO FINANCIERA SE PROCEDERA A SOLICITAR DICHA DOCUMENTACION DE MANERAL NOTARIAL A LOS RESPONSABLES DE LA EJECUCION DE LA OBRA CON EL FIN DE EVALUAR SI CORRESPONDERIA LA LIQUIDACION FISICO FINANCIERA REGULAR O DE OFICIO.
MEDIANTE OFICIO N° 001145-2025-MINEDU/VMGI-PRONIED-UGSC (09.07.2025) SE ALERTA A LA OCI DEL GR AREQUIPA EL INCUMPLIMIENTO DE LOS CONVENIO Nº 377-2017-MINEDU Y CONVENIO Nº 125-2019-MINEDU AL NO CONTAR CON EL ESTADO SITUACIONAL ACTUAL DEL PROYECTO POR PARTE DEL GR, SIENDO QUE LA OBRA CULMINO EN EL AÑO 2021 Y NO HA SIDO RECEPCIONADA NI LIQUIDADA.</t>
  </si>
  <si>
    <t>OBRA CULMINADA (JUL 2018), RECEPCIONADA (AGO 2018) Y CUENTA CON LIQUIDACIÓN DE OBRA APROBADA MEDIANTE RESOLUCIÓN DE ALCALDÍA N° 565-2018-MDH CON UN SALDO A FAVOR DEL CONTRATISTA DE S/ 232,385.13.
29/01/2025 UEI REGISTRA EN EL F12 DEL SSI EL 22/01/25 QUE LA OBRA DE COBERTURA METALICA HA INICIADO EL 08/01/2025.
MEDIANTE OFICIO N° 077-2024-MDH/GOP/ERTM DE FECHA 24/10/24 SE RECEPCIONA EL INFORME N° 11-2024-SGEYP-MDH/MJLC_EN PROCESO DE SELECCION DE 3RA ETAPA PARA LA EJECUCION DE COBERTURA METALICA. CONVOCATORIA 16/10/24, MONTO DE S/ 357,110.28 POR 60DC.
MEDIANTE OFICIO N° 050-2024-MPH/GOP/ERTM (09.07.2024) LA MD HUANCHACO ENVIA SU INFORME SITUACIONAL. EN DICHO DOCUMENTO INFORMA QUE CON FECHA 26 ENE 2023 LA MD SOLICITO INFORMACION AL CONTRATISTA RESPECTO A LOS MONTOS OTORGADOS Y SALDOS QUE QUEDEN POR RECONOCER, SIN HABER TENIDO RESPUESTA ALGUNA.
ASIMISMO, SE LE HA REITERADO, MEDIANTE CORREO ELECTRONICO LA ENTREGA DE LA SIGUIENTE DOCUMENTACION:
- RESOLUCIONES DE LIQUIDACIÓN DE SUPERVISIÓN DE OBRA
ASIMISMO, REMITIR INFORMACIÓN SOBRE:
- OBRAS COMPLEMENTARIAS, SI LAS HUBIERA
- ESTADO DE CIERRE DE PROYECTO, PENDIENTES PARA EFECTUAR EL CIERRE DE LOS PROYECTOS EN EL BANCO DE INVERSIONES
- RESPONSABLE(S) DE PROYECTOS PARA COORDINACIONES
CON FECHA 30.11.2023 LA ENTIDAD HA REGISTRADO EN EL F12B QUE SE REALIZÓ EL PROCESO DE ADJUDICACIÓN SIMPLIFICADA PARA LA EJECUCION DE LA COBERTURA METÁLICA LA CUAL SE VERIFICA EN EL SEACE QUE SE FIRMÓ CONTRATO EN SET 2023. ASIMISMO, ENTIDAD HA ADJUNTADO EL ACTA DE INICIO DE OBRA (03 OCT 2023) INDICANDO QUE EL PLAZO CULMINARÍA EL 16 NOV 2023.
28/02/2025 UEI REPORTA EN EL F12 LA VALORIZACIÓN N° 01 DE COBERTRURA METALICA CON UN AVANCE REAL ACUMULADO DE 38,02% VS PROGRAMADO 43,45%. ESTADO ATRASADA.</t>
  </si>
  <si>
    <t>OBRA COMPLEMENTARIA
FUE FINANCIADO EL MONTO COMPLETO DEL PROYECTO, PENDIENTE DE CIERRE EN EL BANCO DE INVERSIONES. 
Culminación: 30/09/2023
Liquidación: 18/12/2023
Recepción: 26/10/2023
RESOLUCIÓN DE LA GERENCIA SUB REGIONAL N° 053-2019-GR.AMAZONAS/GSRU/G 18 de marzo 2019</t>
  </si>
  <si>
    <t>PROYECTO PENDIENTE DE LIQUIDACIÓN TÉNICA Y FINANCIERA, PARA SU POSTERIOR CIERRE EN EL BANCO DE INVERSIONES.  
Culminación: 
IE BUENOS AIRES 29/02/2020
IE MISQUIYACU BAJO 10/10/2019 
IE SAN ANTONIO  29/02/2020   
IE SAN LORENZO 29/02/2020
IE QUINTALEROS 18/12/2019
Liquidación: 
IE BUENOS AIRES 25/01/2021
IE MISQUIYACU BAJO 02/07/2020           
IE SAN ANTONIO  08/01/2021   
IE SAN LORENZO 30/12/2020                                       
IE QUINTALEROS 08/09/2020     
Recepción: 
IE BUENOS AIRES 30/09/2020                   
IE MISQUIYACU BAJO 06/12/2019            
IE SAN ANTONIO  01/10/2020
IE SAN LORENZO 05/09/2020                                       
IE QUINTALEROS 21/02/2020
RESOLUCIÓN DE GERENCIA GENERAL REGIONAL N° 017-2021 de 25  enero 2021 BUENOS AIRES
RESOLUCIÓN DE GERENCIA GENERAL REGIONAL N° 000241-2020 30 diciembre 2020 SAN LORENZO
RESOLUCIÓN DE GERENCIA GENERAL REGIONAL N° 000163-2020 08 setiembre 2020 QUINTALEROS
RESOLUCIÓN DE GERENCIA GENERAL REGIONAL N° 000082-2020 02 julio 2020
RESOLUCIÓN DE GERENCIA GENERAL REGIONAL N° 004-2021 08 enero 2021 San Antonio</t>
  </si>
  <si>
    <t>PI HA SIDO EJECUTADO POR COMPONENTES SIENDO QUE:
- COMPONENTE I Y II (AI) - INFRAESTRUCTURA Y EQUIPAMIENTO: 
OBRA PRIMIGENIA SE EJECUTO DESDE ENE 2019 Y SE RESOLVIO CONTRATO NOV 2019 HABIENDO LLEGADO AL 8.11%. 
SALDO DE OBRA: OBRA CULMINADA (2020), RECEPCIONADA (2021) Y CUENTA CON LIQUIDACION DE OBRA APROBADA MEDIANTE R.G.G.R. N° 204-2021-GRSM/GGR. ASIMISMO CUENTA CON LIQUIDACION DE SUPERVISION DE OBRA APROBADA MEDIANTE R.G.G.R. N° 240-2021-GRSM/GGR.
- COMPONENTE III (AD) - DESARROLLO CURRICULAR CONTEXTUALIZADO
- OBRA COMPLEMENTARIA - CONSTRUCCIÓN POZO TUBULAR + CUNETA
MEDIANTE OFICIO N° 000325-2026-MINEDU/VMGI-PRONIED-UGSC (09.03.2026) SE REMITE A MESA DE PARTES DE LA OCI DE LA UEI EL INCUMPLIMIENTO DE REGISTRO DE INFORMACIÓN Y CIERRE DEL PI.
AL RESPECTO, MEDIANTE OFICIO N° 000184-2026-CG/OC5351 (13.03.2026) EL JEFE DEL OCI DEL GR SAN MARTIN INFORMA QUE MEDIANTE INFORME DE ORIENTACION DE OFICIO N° 048-2025-OCI/5351-SOO HIZO DE CONOCIMIENTO AL GR LA SITUACION ADVERSA CON LA FINALIDAD QUE SE ADOPTEN LAS MEDIDAS PREVENTIVAS Y CORRECTIVAS QUE CORRESPONDAN
EN ATENCION A ELLO, MEDIANTE OFICIO Nº 1007-2025-GRSM/GRI (22.08.2025) EL GR INFORMA QUE MEDIANTE R.G.G.R. N° 142-2025-GRSM-GGR (21.05.2025) SE APROBO LA LIQUIDACION DEL PI Y SE ENCUENTRAN EN PROCESO DE FORMULACION DEL EXPEDIENTE DE TRANSFERENCIA DEL PI.</t>
  </si>
  <si>
    <t>LIQUIDACIÓN DE OBRA
LA OBRA SE ENCUENTRA CULMINADA (03/12/2022) Y  RECEPCIONADA (19/12/2022), TIEN UN AVANCE FÍSICO ACUMULADO AL 100% Y SE TIENE UN AVANCE FINANCIERO DE 99,9%, SE ENCUENTRA EN USO, SE CUENTA CON RESOLUCIÓN DE ALCALDÍA N° 281-2022-MDO/A PERTENECIENTE A LA LIQUIDACIÓN DE LA EJECUCIÓN DE LA OBRA Y SE CUENTA CON LA RESOLUCIÓN DE ALCALDIA N 065-2024-MDO/ALC (26/06/2024) DE LA LIQUIDACIÓN DE SUPERVISIÓN DE OBRA, CON ELLO SOLO QUEDARIA PENDIENTE REALIZAR LA ACTA DE TRANSFERENCIA Y EL CIERRE DEL PROYECTO EN EL BANCO DE INVERSIONES.
SE NOTIFICÓ MEDIANTE  CORREO ELECTRÓNICO AL ORGANO DE CONTROL INSTITUCIONAL DE HUAMANGA CON FECHA 15/07/2025, EL OFICIO N°  1166-2025-MINEDU/VMGI-PRONIED-UGSC DONDE SE COMUNICA INCUMPLIMIENTO DE REGISTRO DE INFORMACIÓN Y CIERRE DEL PROYECTO DE INVERSIÓN CON CUI 2452021.</t>
  </si>
  <si>
    <t xml:space="preserve">
14/05/2025 MEDINATE EL OOFICIO N° 85-2025-GR CUSCO  LA UEI ADJUNTA EL INFORME N°940-GR CUSCO/GRGI-SGGO  MEDIANET AL CUAL INDCIA QUE LA OBRA  FUE EJECUTADA POR A.D.  Y CUENTA CON APROBACION DE LIQUIDACIÓN MEDIANTE LA R.G.R N° 052-2023-GR DEL 27/11,2023 (ADJUNTA RESOLUCION)
EN LIQUIDACION DE OBRA, RECEPCIONADO 15/12/2022
-MEDIANTE RESOLUCION GERENCIAL GENERAL REGIONAL N° 112-2022-GR CUSCO/GGR DE FECHA 08/07/22 SE APRUEBA LA LIQUIDACION DEL CONTRATO DE OBRA.
-MEDIANTE RESOLUCION GERENCIAL REGIONAL N° 052-2023-GR CUSCO/GRSI DE FECHA 27/11/23 SE APRUEBA LA LIQUIDACION TECNICO FINANCIERA POR EL MONTO DE S/ 7,533,064.63; SIN EMBARGO MEDIANTE RESOLUCION EJECUTIVA REGIONAL N° 576-2023-GE CUSCO/GR DE FECHA 20/11/23 SE DECLARA LA NULIDAD DEL OFICIO POR HABER INCURRIDO EN LA CAUSAL DE NULIDAD DE PLENO DERECHO.
-MEDIANTE INFORME N° 036-2024-GR CUSCO/GRSLI/COXC-JFBC DE FECHA 02/05/24 INDICA QUE AUN TIENE PENDIENTE LA REEVALUACION DE LA LIQUIDACION DE CONTRATA.
-MEDIANTE MEMORANDUM N° 2199-2024-GR CUSCO/GRSLI DE FECHA 16/05/24 SE DISPONE LA ELABORACION DE LA LIQUIDACION DE CONTRATO DE OBRA.</t>
  </si>
  <si>
    <t xml:space="preserve">LIQUIDACIÓN DE OBRA
A UEI INFORMA SOBRE EL ESTADO DEL PROYECTO DE INVERSIÓN QUE CUENTA CON 05 IIEE, LAS CUALES SE ENCUENTRAN CULMINADAS (2022) Y RECEPCIONADAS (2022-2023) E INDICA QUE SE ENCUENTRAN ACTUALMENTE EN USO. ADICIONALMENTE REMITEN LAS RESOLUCIONES DE LIQUIDACIÓN :
ITEM 01 :RESOLUCIÓN DE ALCADIA N 379-2022-MDSR-VRAEM/ALC. (EJECUCIÓN) - RESOLUCION DE ALCALDIA N 067-2023-MDSR-VRAEM/ALC (SUPERVISIÓN)
ITEM 02: RESOLUCION DE ALCADIA N 061-2024-MDSR-VRAEM/ALC (SUPERVISIÓN)  - RESOLUCION DE ALCALDIA N 179-2023-NDSR-VRAEM/ALC (EJECUCIÓN),
ITEM 03: RESOLUCION DE ALCADIA N 070-2023-MDSR-VRAEM/ALC (EJECUCIÓN) - RESOLUCION DE ALCALDIA N 062-2023-MDSR/ALC (SUPERVISIÓN)
ITEM 04: RESOLUCIÓN DE ALCADIA N 034-2024-MDSR-VRAEM/ALC (SUPERVISIÓN) - RESOLUCION DE ALCALDIA N 055-2023-MDSR/ALC (EJECUCION)
ITEM 05 RESOLUCIÓN DE ALCADIA N 363-2022-MDSR-VRAEM/ALC. (EJECUCIÓN) - RESOLUCION DE ALCALDIA N 371-2022-MDSR-VRAEM/ALC (SUPERVISION)
SE NOTIFICÓ MEDIANTE CORRE ELÉCTRONICO A LA OCI DE LA MUNICIPALIDAD PROVINCIAL DE LA MAR CON FECHA 01/12/2025, EL OFICIO N° 2303-2025-MINEDU/VMGI-PRONIED-UGSC DONDE SE INFORMA AL ORGANO DE CONTROL INTERNO EL INCUMPLIMIENTO DE REGISTRO DE INFORMACIÓN Y CIERRE DEL PROYECTO DE INVERSIÓN CON CUI 2452536, A CARGO DE LA MUNICIPALIDAD DISTRITAL DE SANTA ROSA.
</t>
  </si>
  <si>
    <t>EN PROCESO DE LIQUIDACIÓN  DE OBRA 
29/12/2025 LA UEI EN RESPUESTA AL CORREO DE LA COMS-UGSC, LA UEI CON FECHA 02/12/2025 HA REMITIDO EL OFICIO N° 571-GM-MDL/CH MEDIANTE EL CUAL INFORMA LA IMPOSIBILIDAD DE CERRAR EL PI, DEBIDO A QUE SE ENCUENTRA EN PROCESO DE ARBITRAJE SIN FECHA PROBABLE DE LAUDO ARBITAL
FECHA DE INICIO 02/12/2021  CULMINACIÓN REAL EL 30/06/24,  RECEPCIONADA EL 18/12/2024
INAGURACIÓN FUE  EL 10.01.2025 (NO COMUNICARON A PRONIED)</t>
  </si>
  <si>
    <t>LIQUIDACIÓN DE OBRA
INICIO DE OBRA: 22/03/2022, EJECUCIÓN 360DC - FECHA DE CULMINACIÓN CONTRACTUAL: 16/03/2023, SE TUVIERON UN TOTAL DE 06 SUSPENSIONES, AMPLIACIÓN DE PLAZO: RESOLUCIÓN 159-2023
OBRA CULMINADA (08/10/2024) MEDIANTE ASIENTO DE OBRA N° 708 . LA OBRA SE ENCUENTRA CULMINADA EN SU TOTALIDAD AL 100%.  TUVO RECEPCIÓN DE OBRA E INAUGURACIÓN EL 10/12/2024 CONTANDO CON LA PARTICIPACIÓN DE LA ZONAL. MEDIANTE OFICIO N° 247-2025-MDC/A (18/06/2025) SE INFORMA QUE LA OBRA CUENTA CON LA RESOLUCIÓN GERENCIAL N° 044-2025-MDC/GM (23/04/2025) EL CUAL APRUEBA LA LIQUIDACIÓN DE OBRA DEL PROYECTO. ADEMAS INDICAN QUE SE TUVO LA RESOLUCIÓN DEL CONTRATO DE LA SUPERVISIÓN POR LO QUE SE VA A CONTRATAR UN LIQUIDADOR DE COSTOS PARA LIQUIDAR LA SUPERVISIÓN. ADICIONALMENTE INFORMAN QUE NO HAY PRESUPUESTO PARA EL PAGO DE REAJUSTES.
SE NOTIFICÓ MEDIANTE  CORREO ELECTRÓNICO A LA MUNICIPALIDAD CON FECHA 24/09/2025, EL OFICIO N°1721-2025-MINEDU/VMGI-PRONIED-UGSC DONDE SE COMUNICA INCUMPLIMIENTO DE REGISTRO DE INFORMACIÓN Y CIERRE DEL PROYECTO DE INVERSIÓN CON CUI N° 2333135, A CARGO DE LA MUNICIPALIDAD PROVINCIAL DE CANARIA.</t>
  </si>
  <si>
    <t>OBRA CULMINADA (30.11.2022) Y RECEPCIONADA (13.03.2023).
MEDIANTE OFICIO N° 002147-2025-MINEDU-VMGI-PRONIED-UGSC (12.11.2025) SE COMUNICA A LA ENTIDAD EL INCUMPLIMIENTO DE REGISTRO DE INFORMACIÓN Y CIERRE DEL PI EN EL BANCO DE INVERSIONES; AL RESPECTO, MEDIANTE OFICIO N° 276-2025-MDY-GM-GDUR (28.11.2025) LA UEI INFORMA QUE LA PROCURADORIA PUBLICA INDICA QUE SE VIENE DESARROLLANDO UN PROCESO ARBITRAL EN EL CUAL DICHA PROCURADORIA HA PRESENTADO LA CONTESTACION DE LA DEMANDA ACUMULADA. ASIMISMO, SE HA PROGRAMADO LA AUDIENCIA DE ALEGATOS FINALES PARA EL 11 DIC 2025.
MEDIANTE OFICIO N° 068-2025-MDY-GM-GDUR (12.05.2025) ENTIDAD INFORMA QUE ESTADO DE LIQUIDACION EN CONTROVERSIA ARBITRAL SE MANTIENE.
ENTIDAD INFORMA QUE MEDIANTE CARTA N° 76-2023-MDY-GM-GDUR-SGESLP DE FECHA 31 JUL 2023 LA SUBGERENCIA DE ESTUDIOS, SUPERVISION Y LIQUIDACION DE PROYECTOS COMUNICÓ AL CONTRATISTA LA OPINIÓN DESFAVORABLE Y OBSERVÓ LA LIQUIDACIÓN FINAL DE CONTRATO DE OBRA ASÍ COMO EL LEVANTAMIENTO DE OBSERVACIONES. CON FECHA 25 AGO 2023 ENTIDAD INFORMA QUE LA OBRA CONTINUA EN CONTROVERSIA POR PARTE DEL CONTRATISTA Y SE ENCUENTRA EN PROCESO DE CONCILIACIÓN.
MONITORA REALIZÓ VISITA DE INSPECCIÓN EL 28 ABR 2023 DE LA QUE INFORMA LAS SIGUIENTES OBSERVACIONES:
- NO SE HA REALIZADO UNA BUENA COLOCACIÓN DEL POLÍMERO ELASTÓMERO EN JUSTAS SÍSMICAS DE LAS VIGAS, LO QUE HA OCASIONADO BOLSONADAS
- TOMACORRIENTES Y TAPAS COLOCADAS SON DE BAJA CALIDAD
- AGUA SE EMPOZA Y TARDA EN DESAGUAR EN LAVATORIO DE SSHH
- DEFICIENTE SELLADO DE TUBERÍAS DE TANQUE ELEVADO, AGUA SE DESBORDA
- PUERTAS CON RAJADURAS, SIN ALDABAS Y CON CHAPAS MALOGRADAS
- NO SE HA CONSIDERADO LA PENDIENTE ADECUADA PARA COBERTURA DE POLICARBONATO DE PATIO
- NO SE HA CONSIDERADO PENDIENTE EN CUARTO DE DEPÓSITO, EL CUAL SE INUNDA EN ÉPOCAS DE LLUVIA
- TRANSFORMADOR DE AISLAMIENTO TRIFÁSICO DE CUARTO ELÉCTRICO EMITE UN SONIDO CONSTRANTE Y PARPADEO DE BOTON ROJO. SE REQUIERE REVISIÓN
- DEFICIENTE PINTADO DE TUBERÍAS, PASILLO, CUARTO DE GRUPO ELECTRÓGENO Y SALA DE PROFESORES
- DEFICIENTE COLOCACIÓN DE JUNTA DE PISO VINÍLICO</t>
  </si>
  <si>
    <t>ACTUALMEN SE ENCUENTRA EL PROCESO DE TRANSFERENCIA AL SECTOR PARA SU EVENTUAL CIERRE EN EL BANCO DE INVERSIONES. 
INICIO 04/01/2022
Culminación: 22/11/2022
Liquidación: 28/12/2022
Recepción: 01/12/2022
LIQUIDACIÓN 28/12/2022
RESOLUCIÓN DE ALCALDÍA N° 0288-2022-MDB-A  DEL 28 /12/2022</t>
  </si>
  <si>
    <t>EN LIQUIDACION DE OBRA
OBRA SE ENCUENTRA CULMINADA AL 99.57% CON FECHA 11/07/22 
CON ACTA DE RECEPCION DE OBRA DEL 24/08/22. 
RESOLUCION DE LIQUIDACION DE OBRA RG N° 0218-2022-GM-MDT/C DE FECHA 06/12/22 CON SALDO A FAVOR DEL CONTRATISTA DE S/ 199,983.00 
 RESOLUCION DE LIQUIDACION DE SUPERVISION RG N° 0230-2022-GM-MDT/C DE FECHA 23/12/22. 
INICIO  17/01/2022
DESDE LA OFICINA DE SUPERVISION Y LIQUIDACION, SE ENCUENTRA PROGRAMADO EL CIERRE DEL PI EN EL PRESENTE AÑO.</t>
  </si>
  <si>
    <t>LIQUIDACIÓN DE OBRA
CULMINADO EL 17/09/2023 - RECEPCION DE OBRA 29/12/2023
LIQUIDACION DE OBRA: RG N°046-2024-GDTI-MPA DEL 12/04/24
LIQUIDACION DE SUPERVISIÓN: RG N°056-2024-GDTI-MPA DEL 24/05/24
OBRA YA SE INAUGURO, ASIMISMO INDICO QUE DEJO EN CUSTODIA EL COLEGIO A LA UGEL, SIN EMBARGO, AUN NO SE REALIZA LA TRANSFERENCIA. 
DESDE LA UGSC, SE HA REMITIDO EL 29/04/2025 EL OFICIO N° 638-2025-MINEDU/VMGI-PRONIED-UGSC A LA MUNICIPALIDAD, COMUNICANDO INCUMPLIMIENTO DE REGISTRO DE INFORMACIÓN Y CIERRE</t>
  </si>
  <si>
    <t xml:space="preserve">LIQUIDACIÓN DE OBRA - SALDO DE OBRA
OBRA PRIMIGENIA: INICIO DE OBRA: 18/04/2022 - FECHA DE CULMINACION PROGRAMADA PARA 30/07/2023 - RESOLUCION DE CONTRATO: 18/10/2023
OBRA PRINCIPAL: 91.17%
(CUENTA CON  ACTA DE CONSTATACION FISICA E INVENTARIO DE OBRA, CUENTA CON RESOLUCION DE APROBACION DE PRELIQUIDACION DE OBRA POST RESOLUCION DE CONTRATO DEL  10/11/2023)
SALDO DE OBRA: ENTREGA DE TERRENO:09/10/2024 - INICIO OBRA: 10/10/2024 - PLAZO: 90DC - FIN OBRA CONTRACTUAL: 05/02/2025 - CULMINADA 07/05/2025 - MONTO: S/ 997,816,30 
ACTA DE RECEPCIÓN DE SALDO DE OBRA: 28/05/2025.
RESOLUCIÓN DE ALCALDÍA N° 160-2025-MDLM/A (16/05/2025) A TRAVÉS DE LA CUAL, SE APRUEBA LA CONFORMACIÓN DE COMITÉ DE RECEPCIÓN DE OBRA 
ASIENTO DE CUADERNO DE OBRA Nº 172, EN EL CUAL, EL SUPERVISOR DE OBRA A LA FECHA DEL 07 DE MAYO DE 2025, DA POR CONCLUIDO EL PLAZO CONTRACTUAL DE EJECUCIÓN DE LA OBRA, HABIENDO REALIZADO LOS TRABAJOS FINALES.
A TRAVÉS DE RESOLUCIÓN DE ALCALDÍA N° 212-2015-MDLM/A DE FECHA 01/07/2025, APROBANDO LA LIQUIDACIÓN TÉCNICA FINANCIERA DEL SALDO DE OBRA, Y A TRAVÉS DE LA RESOLUCIÓN DE ALCADÍA N° 215-2025-MDLM/A DE FECHA 03/07/2025, APROBANDO LA LIQUIDACIÓN TÉCNICA FINANCIERA DE LA SUPERVISIÓN DEL SALDO DE OBRA. </t>
  </si>
  <si>
    <t>LIQUIDACIÓN DE OBRA
OBRA CULMINADA_28/04/23 - ACTA DE RECEPCION_26/06/2023
LIQUIDACION DE OBRA APROBADA: RESOLUCIÓN GERENCIAL N° 0248-2023-MDCH/GM - (10/11/2023)
LIQUIDACIÓN DE SUPERVISIÓN APROBADA: RESOLUCIÓN GERENCIAL N° 0274-2023-MDCH/GM - (29/12/2023)
PENDIENTE QUE UEI INDIQUE QUE CUENTA CON ACTA DE TRANSFERENCIA Y LA REMITA, PARA SU POSTERIOR CIERRE. 
DESDE LA UGSC, SE HA REMITIDO EL 29/04/2025 EL OFICIO N° 631-2025-MINEDU/VMGI-PRONIED-UGSC A LA MUNICIPALIDAD, COMUNICANDO INCUMPLIMIENTO DE REGISTRO DE INFORMACIÓN Y CIERRE</t>
  </si>
  <si>
    <t>LIQUIDACION DE OBRA_
SE TIENE LA RECEPCION Y TRANSFERENCIA TOTAL DE LA OBRA CON LA UGEL CHICLAYO . - SE TIENE 14 VALORIZACIONES CANCELADAS Y 3 ADICIONALES DE OBRA. - LA LIQUIDACION DEL CONTRATISTA SE ENCUENTRA EN CONCILIACION DEBIDO AL PAGO DE UNA PENALIDAD . -SE HA LOGRADO CONCILIAR CON EL CONTRATISTA ,POR LO QUE YA CUENTA CON LIQUIDACION APROBADA Y CANCELADA . - LA LIQUIDACION DE LA SUPERVISION HA SIDO ELABORADA POR LA ENTIDAD, PENDIENTE DEL CIERRE DE LA INVERSION .
OBRA CULMINADA (21.09.2023) Y RECEPCIONADA (05.01.2024) Y CUENTA CON LIQUIDACION DE OBRA APROBADA MEDIANTE R.G. N° 105-2024-MDP/GDTI (12.07.2024).
EL GERENTE DE INFRAESTRUCTURA DE LA MD ALCANZÓ LA RESOLUCION QUE APRUEBA LA LIQUIDACION DE LA OBRA, DE LA QUE SE DETALLA LO SIGUIENTE:
SALDO A FAVOR DE CONTRATISTA PREVIO: S/ 388,619.59
PENALIDADES APLICADAS A CONTRATISTA: S/ 33,969.39 
SALDO A FAVOR DE CONTRATISTA FINAL: S/ 354,650.20
MEDIANTE OFICIO N° 861-2024-MDP/A (03.12.2024) LA MD PIMENTEL INFORMA QUE EL SALDO A FAVOR DEL CONTRATISTA HA SIDO PAGADO EN SU TOTALIDAD.
AL RESPECTO, MEDIANTE CORREO ELECTRONICO (11.12.2024) SE LE SOLICITO A LA MD INFORMAR LO SIGUIENTE:
- ESTADO ACTUAL DE SISTEMA DE ENERGÍA TRIFÁSICA
- GESTIONES PARA EL CIERRE DE PROYECTO EN EL BANCO DE INVERSIONES.
INSTITUCION EDUCATIVA NO CUENTA CON SISTEMA DE ENERGÍA TRIFÁSICA PARA EL USO DEL EQUIPAMIENTO INSTALADO (CUENTAN CON SISTEMA MONOFÁSICO).
MEDIANTE INFORME N° 007-2024-MINEDU-VMGI-PRONIED-UZLA (04.01.2024) MONITOR DE OBRA INFORMA QUE EN VISITA DEL 27.12.2023 ENCONTRÓ QUE SE VIENE REALIZANDO DE MANERA DEFICIENTE EL LEVANTAMIENTO DE OBSERVACIONES EN ACABADOS DE PINTURA Y TARRAJEO DE DERRAMES DE VENTANAS. ASIMISMO, INFORMA DE OBSERVACIONES PENDIENTES DE LEVANTAR:
- INSTALACION INADECUADA DE SEÑALIZACION
- PUERTAS CON FISURAS Y DESNIVELADAS DE AULAS
- PRESENCIA DE OXIDACION EN ELEMENTOS METÁLICOS COMO BARANDAS Y MOBILIARIO
MONITORA PRESENTÓ NOTIFICACION N° 15-2023-MINEDU/VMGI-PRONIED/UZLA A UNIDAD EJECUTORA ADVIRTIENDO OBSERVACIONES.</t>
  </si>
  <si>
    <t>DS 093-2022</t>
  </si>
  <si>
    <t xml:space="preserve">OBRA CULMINADA (2023), RECEPCIONADA (NOV 2023) Y CUENTA CON LIQUIDACIÓN DE CONTRATO DE OBRA APROBADA MEDIANTE R.A. N° 1739-2023-MDE CON UN SALDO A FAVOR DEL CONTRATISTA DE S/ 268,777.69.
SE VERIFICA EN EL BANCO DE INVERSIONES QUE EN EL MES DE ENERO 2024 ENTIDAD DEVENGÓ S/ 268,777.69 POR LO QUE ENTIDAD HA CUMPLIDO CON PAGO A CONTRATISTA.
MEDIANTE REPORTE POR WHATSAPP MONITORA ZONAL INFORMA QUE REALIZÓ VISITA EL 11 DIC 2023 EN LA CUAL OBSERVÓ EL LEVANTAMIENTO DE LAS OBSERVACIONES DE SU ANTERIOR VISITA (03 NOV). ASIMISMO DIRECTORA DE IE LE INFORMÓ QUE RECIBIÓ LA INSTITUACION EL 04 DIC Y QUE QUEDÓ PENDIENTELA PRUEBA DEL FUNCIONAMIENTO DEL GENERADOR ELÉCTRICO DEBIDO A LA DEMORA EN LA INSTALACION DE LA ENERGÍA TRIFÁSICA. SE SUBIERON FOTOS DE LA VISITA AL SHAREPOINT.
EN VISITA DEL 03 NOV 2023 MONITORA NO PUDO INGRESAR A LA TOTALIDAD DE AMBIENTES SIN EMBARGO, REALIZÓ LAS SIGUIENTES OBSERVACIONES:
- FALTA SELLADO DE JUNTA DE DILATACION
- FISURAS EN PISOS DE VEREDAS, CORREDOR DE 2DO NIVEL, GRADAS DE ESCALERA
- DEFICIENTE PINTADO DE MUROS EXTERIORES E INTERIORES PRESENTA VARIAS TONALIDADES
- REJILLAS METALICAS CON PRESENCIA DE OXIDACION
- FALTA COMPLETAR BAJADA DE MONTANTE DE TECHO DE JUEGOS INFANTILES
- FALTA COMPLETAR INSTACION DE JUEGOS INFANTILES
- DEFICIENTE INSTALACION DE TERRAZO EN VEREDAS
- FISURAS EN ZÓCALOS INTERIORES Y EXTERIORES
- NO SE PUDO INGRESAR A AMBIENTES ADMINISTRATIVOS NI VERIFICAR FUNCIONAMIENTO DE GRUPO ELECTROGENO Y APARTOS SANITARIOS. </t>
  </si>
  <si>
    <t>OBRA CULMINADA (10.04.2024), RECEPCIONDA (23.05.2024) Y CUENTA CON LIQUIDACION DE OBRA APROBADA MEDIANTE R.A. N° 129-2024/MDC (15.07.2024).
UEI NO HA INFORMADO EL ESTADO DE LA LIQUIDACION DE LA SUPERVISION DE OBRA.
MEDIANTE OFICIO N° 00621-2025-MINEDU/VMGI-PRONIED-UGSC (29.04.2025) SE COMUNICA A LA ENTIDAD EL INCUMPLIMIENTO DE REGISTRO DE INFORMACIÓN Y CIERRE DEL PI EN EL BANCO DE INVERSIONES; ASIMISMO SE LE SOLICITA REMITIR UN INFORME DETALLADO QUE CONTENGA LA ACTUALIZACION DEL FORMATO N° 12B, DOCUMENTO QUE ACREDITE LIQUIDACION TECNICA FINANCIERA DEL PROYECTO Y DOCUMENTO QUE ACREDITE CIERRE DE PI A TRAVÉS DE FORMATO N° 09.</t>
  </si>
  <si>
    <t>CULMINACION DE OBRA
OBRA CULMINADA (01-04.11.2024) Y RECEPCIONADA (IE RATCAY 26.11.2024)
MEDIANTE EXPEDIENTE E-039957-2025, EL GORE APURIMAC REMITE EL  OFICIO Nº 0365 - 2025 - GR. APURÍMAC /GSR.GRAU DE 02-12-25; EN EL CUAL INDICA QUE SE ENECUENTRA EN EJECUCION LA IEI 112 DE CHAPIMARCA; POR LO QUE, SE PROYECTA MEMORANDO N° 001111-2025-MINEDU-VMGI-PRONIED-UGSC (05/12/2025) A LA UZ SOLICITANDO INSPECCION DE LA OBRA A FIN DE QUE INFORME SOBRE EL ESTADO SITUACIONAL DE LA
OBRA Y PLAN DE CONTIGENCIA DEL PROYECTO DE INVERSIÓN, ASIMISMO SE ADJUNTA AYUDA MEMORIA Y DOCUMENTOS CORRESPONDIENTES.
MEDIANTE OFICIO N° 635-2024-GR.APUR/GSR.GRAU (11.12.2024) EL GR HA REMITIDO EL ACTA DE RECEPCION DE LA IE RATCAY EN LA QUE SE VERIFICA QUE FUE RECEPCIONADA EL 26 NOV 2024 Y ENTREGADA A LOS BENEFICIARIOS EN LA MISMA FECHA.
POR OTRO LADO, MEDIANTE OFICIO N° 645-2024-GR.APUR/GSR.GRAU (11.12.2024) EL GR INFORMO QUE LA IE MOLLEPIÑA FUE RECEPCIONADA EL 27 NOV 2024 PERO NO HA ADJUNTADO EL ACTA DE RECEPCION POR LO QUE MEDIANTE CORREO ELECTRONICO SE LE HA SOLICITADO.
CON FECHA 04.12.2024 EL RESPONSABLE DEL PI INFORMA DEL ESTADO SITUACIONAL DE 2 IE, SIENDO QUE:
- IE MOLLEPIÑA: MEDIANTE ASIENTO DE CUADERNO DE OBRA COMUNICA LA CULMINACION DE OBRA (01.11.2024) CON UN AVANCE DEL 95.56% LO CUAL HA SIDO VERIFICADO POR EL INSPECTOR DE OBRA.
- IE RATCAY: MEDIANTE ASIENTO DE CUADERNO DE OBRA COMUNICA LA CULMINACION DE OBRA (04.11.2024) CON UN AVANCE DEL 99.72% LO CUAL HA SIDO VERIFICADO POR EL INSPECTOR DE OBRA.
ASIMISMO INFORMA QUE IE RESTANTES NO SE EJECUTARAN POR NO CONTAR CON DEMANDA SUFICIENTE.
CABE MENCIONAR QUE MEDIANTE DECRETO SUPREMO N° 240-2024-EF SE HA TRANSFERIDO S/ 2,907,677.00 A FAVOR DEL PI.
**MEDIANTE CORREO ELECTRONICO (06.12.2024) SE LE SOLICITO INFORME SITUACIONAL ACTUALIZADO.</t>
  </si>
  <si>
    <t>EN EJECUCIÓN DE OBRA
- IE 176 - SALAS:  EN EJECUCIÓN DE OBRA DESDE EL 18/06/2025, CUENTA CON UN AVANCE: 39.48% VS 54.80% PROGRAMADO
- IE 018 - ETEN:  EN EJECUCIÓN DE OBRA DESDE EL 02/06/2025 CUENTA CON UN AVANCE 89,96% SOBRE 100,00% AL MES DE JUNIO
- IE PNP DIVINO NIÑO DEL MILAGRO - CHICLAYO: EN EJECUCIÓN DE OBRA CON REINICIO DE FECHA 09/08/2025, CON AVANCE A MAYO 2025: 87,43% SOBRE 92,50%.
- IE 034 - LAGUNAS:  EN EJECUCIÓN DE OBRA, CON REINICIO DE FECHA 11/08/2025, CON AVANCE A MAYO 2025: 83.03% SOBRE 99.67%.
SALDO DE OBRA (EN EJECUCIÓN POR AI).
- ITEM I - IE 034 - LAGUNAS: 
INICIO DE OBRA:  02.08.2024
PLAZO DE EJECUCION 150 DIAS
CULMINACION DE OBRA: 30.12.2024
- ITEM II - IE PNP DIVINO NIÑO DEL MILAGRO -  CHICLAYO: 
INICIO DE OBRA:  02.08.2024
PLAZO DE EJECUCION 90 DIAS
CULMINACION DE OBRA: 31.10.2024
- ITEM III - IE 176 - SALAS: 
INICIO DE OBRA:  01.08.2024
PLAZO DE EJECUCION 210 DIAS
CULMINACION DE OBRA: 27.02.2025
- ITEM IV - IE 018 - ETEN: 
INICIO DE OBRA:  06.08.2024
PLAZO DE EJECUCION 180 DIAS
CULMINACION DE OBRA: 02.02.2025</t>
  </si>
  <si>
    <t xml:space="preserve">SALDO DE OBRA PARALIZADA (EN EJECUCIÓN POR AD), CUENTA CON ACTA DE TERMINACION PARCIAL DE OBRA DEL 12 MAY 2025.
MEDIANTE INFORME N° 001032-2025-MINEDU-VMGI-PRONIED-UZJU (23.10.2025) MONITOR DE OBRA INFORMA QUE EN VISITA DEL 16 OCT 2025 VERIFICÓ QUE PERSONAL SE ENCUENTRA RELIZANDO EL LEVANTAMIENTO DE OBSERVACIONES; SIN EMBARGO, NO SE ESTA CUMPLIMIENTO CON EL ABASTECIMIENTO  DE MATERIALES NECESARIOS DE MANERA OPORTUNA PARA LA SUBSANACION DE TODAS LAS OBSERVACIONES. ASIMISMO SE LE HA INFORMADO AL MONITOR QUE EL PRESUPUESTO ASIGNADO POR LA UEI ES INSUFICIENTE PARA LA SUBSANACION DE TODAS LAS OBSERVACIONES.
POR OTRO LADO, EXPEDIENTE TECNICO CORRESPONDIENTE A LA MEDIA TENSION SE ENCUENTRA OBSERVADO POR ELECTROCENTRO Y EN PROCESO DE LEVANTAMIENTO DE OBSERVACIONES.
MEDIANTE INFORME N° 529-2025-MINEDU-VMGI-PRONIED-UZJU (16.06.2025) MONITOR DE OBRA INFORMA QUE EN VISITA DEL 06.06.2025 VERIFICÓ LO SIGUIENTE:
- OBRA SE ENCUENTRA EN USO A PESAR DE ENCONTRARSE INCONCLUSA DESDE EL 23.03.2025
- JUNTAS DE DILATACION Y SISMICAS SELLADAS CON MEZCLAS DE CEMENTO Y ARENA (MODULO ABTC, EUFG, JKÑS, OXP, LMWN, QY)
- DEFICIENCIAS EN SELLADO DE JUNTAS CON ELASTOMERICO (MODULO ABTC, EUFG, OXP, LMWN, QY)
- TABLEROS EN PUERTAS APANALADAS CON ABERTURAS HASTA DE 1CM POR CONTRACCION DE LA MADERA (MODULO EUFG)
- ABRAZADERAS METALICAS EN MONTANTES DE BAJADA PLUVIAL MUY DISTANCIADAS (MODULO EUFG, JKÑS, OXP, LMWN, QY)
- SALIDAS DE TUBERIAS DE VENTILACION DE SSHH SIN SOMBREROS DE VENTILACION (MODULO EUFG)
- DESPRENDIMIENTO DE SUPERFICIE DE TARRAJEO Y PUNTURA EN EXTERIORES (MODULO EUFG)
- LIMPIEZA GENERAL DE OBRA Y ELIMINACION DE OBSTRUCCIONES Y MAQUINARIA
- ENTRE OTRAS
- SE ENCUENTRA PENDIENTE LA EJECUCION DE PARTIDA DE SISTEMA DE UTILIZACION DE MEDIA TENSION (CORRESPONDIENTE AL 2%)
- SEGUN ACTA DE TERMINACION PARCIAL DE OBRA, LA OBRA CUENTA CON UN AVANCE FISICO ACUMULADO DE 94.23% CONTANDO CON UN DEDUCTIVO DE OBRA DE 3.77%.
MEDIANTE OFICIO N° 000090-2025-MINEDU/VMGI-PRONIED-UGSC (20.02.2025) SE COMUNICA A LA ENTIDAD EL INCUMPLIMIENTO DEL CONVENIO N° 185-2017-MINEDU Y SE LE SOLICITA A LA UEI REMITA EL ESTADO SITUACIONAL DEL PI EN EL QUE SE INCLUYA UN PRONUNCIAMIENTO DETALLADO SOBRE LAS ACCIONES REALIZADAS O QUE SE VIENEN REALIZANDO PARA SUPERAR LA PARALIZACIÓN DE LA OBRA, ESTABLECIENDO CRONOGRAMAS Y PLAZO.
MEDIANTE OFICIO N° 001785-2025-MINEDU-VMGI-PRONIED-UGSC (03.10.2025), LA UGSC COMUNICA A LA UEI EL INCUMPLIMIENTO DEL CONVENIO N° 185-2017-MINEDU Y TRASLADA OBSERVACIONES DE LA UZ (VISITA 01.09.2025).
ASIMISMO, MIEMBROS DE LA APAFA INFORMARON AL MONITOR QUE OBRA INCONCLUSA FUE INAUGURADA EL 21 DIC 2024 SIN CONSIDERAR LAS OBSERVACIONES INFORMADAS POR PRONIED. </t>
  </si>
  <si>
    <t>LIQUIDACIÓN DE OBRA 
INICIO DE OBRA: 08/12/2022, EJECUCIÓN 365DC - FECHA DE CULMINACIÓN CONTRACTUAL: 07/12/2023, SE TUVIERON UN TOTAL DE 03 SUSPENSIONES.
LA OBRA SE ENCUENTRA CULMINADA (06/07/2024) Y RECEPCIONADA (23/09/2024), TIENE COMO AVANCE  FÍSICO ACUMULADO DE 99,90 DEBIDO A QUE NO SE EJECUTO LA PARTIDA DE PISO VINILICO DEL PLAN DE CONTINGENCIA COMO INDICA EN LA LIQUIDACIÓN. SE REALIZO LA INAUGURACIÓN EL DÍA 11/02/2025 CONTANDO CON LA PARTICIPACIÓN DE LA ZONAL DE AYACUCHO. ADICIONALMENTE SE CUENTA CON LA RESOLUCION DE GERENCIA MUNICIPAL N° 062-2025-MDC/GM/RUHR DE FECHA 15/04/2025 EL CUAL CORRESPONDE A LA LIQUIDACIÓN DEL CONTRATO DE OBRA Y SE TIENE PENDIENTE LA LIQUIDACIÓN DE LA SUPERVISIÓN.
SE NOTIFICÓ MEDIANTE  CORREO ELECTRÓNICO A LA MUNICIPALIDAD CON FECHA 26/09/2025, EL OFICIO N°1732-2025-MINEDU/VMGI-PRONIED-UGSC DONDE SE COMUNICA INCUMPLIMIENTO DE REGISTRO DE INFORMACIÓN Y CIERRE DEL PROYECTO DE INVERSIÓN CON CUI N° 2501612, A CARGO DE LA MUNICIPALIDAD PROVINCIAL DE CANAYRE.</t>
  </si>
  <si>
    <t>DS 130-2023-EF
(Anexo I)</t>
  </si>
  <si>
    <t xml:space="preserve">LIQUIDACIÓN DE OBRA
INICIO DE OBRA: 11/10/2023, EJECUCIÓN 180 DC - FECHA DE CULMINACIÓN CONTRACTUAL: 07/04/2024, TUVO 01 SUSPENSIÓN.
LA OBRA SE ENCUENTRA CULMINADA (18/07/2024), TIENE UN AVANCE FÍSICO ACUMULADO AL 100% ( OBRA PRINCIPAL + ADICIONAL DE OBRA) Y CUENTA CON RESOLUCIÓN GERENCIAL MUNICIPAL N° 022-2024-MDH/GM (25/07/2024) EN EL CUAL SE DA LA CONFORMACIÓN DE COMITE DE RECEPCIÓN, CUENTA CON EL ACTA DE ENTREGA Y RECEPCIÓN DE LA OBRA (06/09/2024). LA OBRA REALIZO SU INAUGURACIÓN EL 09/10/2024 Y CONTO CON LA PRESENCIA DEL PRONIED. SE CUENTA CON LA RESOLUCIÓN DE ALCALDÍA N° 052-2025-MDH/A (24/04/2025) DONDE SE APRUEBA EL EXPEDIENTE DE LIQUIDACIÓN TÉCNICA FINANCIERA EN RELACIÓN AL CONTRATO DE EJECUCIÓN DE OBRA.
 SE NOTIFICÓ MEDIANTE CORRE ELÉCTRONICO A LA OCI DE LA MUNICIPALIDAD PROVINCIAL DE VILCAS HUAMAN CON FECHA 01/12/2025, EL OFICIO N° 2301-2025-MINEDU/VMGI-PRONIED-UGSC DONDE SE INFORMA AL ORGANO DE CONTROL INTERNO EL INCUMPLIMIENTO DE REGISTRO DE INFORMACIÓN Y CIERRE DEL PROYECTO DE INVERSIÓN CON CUI 2453075, A CARGO DE LA MUNICIPALIDAD DISTRITAL DE HUAMBALPA.
</t>
  </si>
  <si>
    <t xml:space="preserve">LIQUIDACIÓN DE OBRA
06/06,/025: EN RESPUESTA  A LOS OFICIOS  N° 583-2025-MINEDU-VMGI-PRONIED-UGSC,  LA UEI CON FECHA 08/05/2025   A TRAVÉS DEL OFICIO  N°323-2025-MDP-AEN/ALC  HA PRESENTADO EL  INFORME N° 147-2025-MDP-GOTI-USyL-MACY MEDIANTE  EL CUAL COMUNICA  QUE SI BIEN SE CUANTA CON LA APROBACIÓN DE LA  LIQUIDACIÓN TÉCNICA- FINANCIERA DE LA  OBRA (R.G N° 236-2023 DEL 22.12.2023) AÚN LA ENTIDAD NO CUENTA CON DISPOBILIDAD PRESUPUESTAL PARA REALIZAR LOS PAGOS PENDIENTES A FAVOR DEL CONTRATISTA. POR LO TANTO AÚN NO ES POSIBLE CERRAR EL PI EN LA PLATAFORMA DEL INVIERTE.PE .    RESPECTO AL PROCESO DE ARBITRAJE MENCIONA QUE EL CONTRATISTA DESISTIÓ.
INICIO DE PLAZO: 10 DE FEBRERO 2022 - TERMINO PROG 07 SETIEMBRE 2022 - RECEPCIÓN DE OBRA  30/10/2023
 LIQUIDACIÓN DE OBRA: RESOLUCIÓN GERENCIAL Nº 236-2023-MDP/GM, MODIFICADO A TRAVÉS DE LA RESOLUCIÓN GERENCIAL Nº 070-2024-MDP/GM (21/03/2024)
LIQUIDACIÓN DE SUPERVISIÓN DE OBRA: RESOLUCIÓN GERENCIAL Nº 255-2023 (29/12/2023)
ACTA DE TRANSFERENCIA DE PROPIEDAD DEL PROYECTO A LA UGEL - ACOBAMBA: 22/03/2024
</t>
  </si>
  <si>
    <t xml:space="preserve">EJECUCIÓN  DE OBRA
IEI 489
29/12/2025  SE DISOLVIÓ EL CONTRATO Y SE EJECUTÓ SU CARTA FIANZA FIEL CUMPLIMIENTO ESTÁ EN LA ETAPA DE CONSENTIMIENTO SEGURO ELLOS PLANTEARÁN CONCILIACIÓN O ARBITRAJE
INICIO DE OBRA 05/08/24
REINICIO  22/04/2025
TERMINO PROGRAMADO 19/06/2025
CULMINACIÓN REAL 18/07/2025
INAUGURACIÓN PREVISTA PARA 20/08/2025 (NO HAN REMITIDO AÚN EL ACTA DE RECECPCIÓN)
FINANCIAMIENTO
IE 56369
29/12/2025 SEGÚN CONSTA EN LA PLATAFORMA SEACE Y LO COMUNICADO POR LA UEI, SE ECNUENTRAN EN PROCESO DE EVALUAICÓN DE LAS PROPUESTAS ECONOMICAS EN L MARCO DEL PROCESO DE SELECCIÓN DE EJECUCIÓN Y SUPERVISIÓN DE OBRA
</t>
  </si>
  <si>
    <t>OBRA SUSPENDIDA
EL MINEDU HA REMITIDO EL 28.11.2025 AL MEF EL OFICIO N° 2855-MINEDU /SG CON LA PROPUESTA DE DECRETO SUPREMO QUE AUTORICE LA TRANSFERENCIA DE PARTIDAS PRESUPEUESTALES A FAVR FR LA RESERVA DE CONTINGENCIA Y DE DIVERSOSO GL PARA FINANCIAR LA CONTINUIDAD DE PI  
SEGÚN EL SSI EL AVANCE FINANCIERO ACUMULADO AL 2025 ES DE S/. 2,944,540.72 ESD ECIR EL 79.4% A AGOSOTO 25 RESPECTO DEL PIM 2025  (S/. 3,710,189.00)
INICIO : 09/04/2025
CULMINACIÓN PROGRAMDA  04/02/2026
CULMINACIÓN REPROGRAMDA  24/02/2026</t>
  </si>
  <si>
    <t>LEY 32416 (LEY DE CRÉDITO SUPLEMENTARIO 2025)</t>
  </si>
  <si>
    <t>ADJUDICACIÓN DE OBRA</t>
  </si>
  <si>
    <t xml:space="preserve">PI CONSIDERADO EN LA LEY 32416 , LEY DE CREDITO SUPLEMENTARIO
CONVENIO N° 038-2025-MINEDU
CONVOCATORIAS:
Ejecución de Obra: 31.10.2025, Proceso de Selección LP-SM-1-2025-MDSL/CS-1
Convocatoria: 03/11/2025
Adjudicado: 19/12/2025
Consentir Buena Pro Manual: 23/12/2025
Supervisión de Obra: 13.11.2025, Proc. de Selec. CP CON-SM-1-2025-MDSL/CS-1
Convocatoria: 13/11/2025
Registro de participantes: 14/11/2025 al 28/12/2025
Formulación de consultas y observaciones (Electrónica): 14/11/2025 al 24/11/2025
Absolución de consultas y observaciones (Electrónica): 25/11/2025
Integración de las Bases A TRAVES DEL SEACE: 16/12/2025
Presentación de propuestas (Electrónica): 29/12/2025
Calificación y Evaluación de propuestas OFICINA DE LOGISTICA: 30/12/2025
Otorgamiento de la Buena Pro A TRAVES DEL SEACE:30/12/2025
MEDIANTE EXPEDIENTE I-028292-2025, SE REMITE OFICIO N°001878-2025-MINEDU-VMGI-PRONIED-UGSC DE FECHA 10.10.2025, SOLICITANDO LA REMISIÓN DE INFORMACIÓN COMO PARTE DE LAS OBLIGACIONES A CUMPLIR POR LA UEI Y EL USO DE LOS RECURSOS ASIGNADOS, EN EL MARCO DEL CONVENIO ESPECÍFICO DE COOPERACIÓN INTERINSTITUCIONAL SUSCRITO ENTRE EL MINEDU Y LA MUNICIPALIDAD DISTRITAL DE SANTA LUCIA (PUNO).
EL 02/10/2025 SE SUSCRIBIO EL CONVENIO N° 038-2025-MINEDU, CONVENIO ESPECIFICO DE COOPERACION INTERINSTITUCIONAL ENTRE MINEDU Y LA MD DE SANTA LUCIA.
ET APTO PARA FINANCIAMIENTO  - PROYECTO APTO EN ASITEC
MEDIANTE OFICIO N°000515-2025-MINEDU-VMGI-PRONIED-DE CON FECHA 28 DE MARZO DE 2025, LA DIRECCIÓN EJECUTIVA DE PRONIED REMITIÓ AL MINEDU, EL PROYECTO DE DECRETO SUPREMO PARA FINANCIAMIENTO DE 75 PROYECTOS DE INVERSIÓN DE INFRAESTRUCTURA EDUCATIVA DEL SECTOR EDUCACIÓN.
MEDIANTE OFICIO Nº 000143-2025-MINEDU-VMGI-PRONIED-DE DE FECHA 28 DE ENERO DE 2025, SE INFORMÓ AL MINEDU SOBRE LA NECESIDAD DE FINANCIAMIENTO DE LOS PROYECTOS DE INVERSIÓN QUE HAN CULMINADO EL PROCESO DE ASITEC, A LA FECHA SE ENCUENTRA EN PROCESO DE RECOLECCIÓN DE INFORMACIÓN PARA LA ELABORACIÓN DE PROPUESTA FINANCIERA 
PROPUESTAS PREVIAS 
OFICIO N° 376-2023-MINEDU/DM (25.07.23) - 53PI – PDS
OFICIO N° 03617-2023-MINEDU/SG (08.09.23) - 54PI – PL
OFICIO N° 1087-2024-MINEDU/SC (25/03/2024) - 66PI (30 ASITEC)-PDS
OFICIO N°2295-2024-MINEDU/DM (24/09/2024) - 61PI
CULMINACION AT: 2022
</t>
  </si>
  <si>
    <t>LIQUIDACIÓN DE OBRA
LA OBRA SE ENCUENTRA CULMINADA (13/05/2021) Y RECEPCIONADA (12/07/2021). EL PROYECTO CUENTA CON LIQUIDACIÓN CON RESOLUCIÓN DE ALCALDÍA N° 204-2021 (13/10/2021); LA UEI INDICA QUE EL PROYECTO FUE EJECUTADO POR DOS UNIDADES EJECUTORAS, POR LO QUE SE SOLICITO AL GOBIERNO REGIONAL DE AYACUCHO LA LIQUIDACIÓN FÍSICA Y FINANCIERA DE LA PRIMERA ETAPA MEDIANTE CARTA N° 09-2025-MDJN-SGDUR-UF/KOS-ESP (04/02/2025). POR LO TANTO, SE TENDRIA PENDIENTE QUE SE REALICE LA LIQUIDACIÓN FINAL DE TODO EL PROYECTO DE INVERSIÓN.
SE NOTIFICÓ MEDIANTE  CORREO ELECTRÓNICO AL ORGANO DE CONTROL INSTITUCIONAL DE HUAMANGA CON FECHA 04/08/2025, EL OFICIO N°  1282-2025-MINEDU/VMGI-PRONIED-UGSC DONDE SE COMUNICA INCUMPLIMIENTO DE REGISTRO DE INFORMACIÓN Y CIERRE DEL PROYECTO DE INVERSIÓN CON CUI 2231739.</t>
  </si>
  <si>
    <t xml:space="preserve">LIQUIDACIÓN DE OBRA
LA OBRA SE ENCUENTRA CULMINADA (23/07/2023), RECEPCIONADA (18/10/2023) Y LIQUIDADA . SE TIENE UN AVANCE FÍSICO ACUMULADO AL 100% Y UN AVANCE FINANCIERO AL 92,7.LA UEI REMITE LA RESOLUCIÓN DE ALCALDIA N379-2023-MDSR/A DE LA OBRA CON FECHA 22.12.2023 Y LA RESOLUCIÓN DE ALCALDIA N 382-2023-MDSR/A CON FECHA 28.12.2023 . SE TIENE PENDIENTE LA ACTA DE TRANSFERENCIA PARA PODER REALIZAR EL CIERRE DEL PROYECTO.
SE NOTIFICÓ MEDIANTE CORRE ELÉCTRONICO A LA OCI DE LA MUNICIPALIDAD PROVINCIAL DE JAEN CON FECHA 11/11/2025, EL OFICIO N° 2132-2025-MINEDU/VMGI-PRONIED-UGSC DONDE SE INFORMA AL ORGANO DE CONTROL INTERNO EL INCUMPLIMIENTO DE REGISTRO DE INFORMACIÓN Y CIERRE DEL PROYECTO DE INVERSIÓN CON CUI 2226609, A CARGO DE LA MUNICIPALIDAD DISTRITAL DE SANTA ROSA.
</t>
  </si>
  <si>
    <t xml:space="preserve">LIQUIDACIÓN DE OBRA
LA OBRA SE ENCUENTRA CULMINADA (25/08/2022), RECEPCIONADA (17/10/2022) Y LIQUIDADA . SE TIENE UN AVANCE FÍSICO ACUMULADO AL 100% Y UN AVANCE FINANCIERO AL 97,8. SE CUENTA CON LIQUIDACION DE OBRA MEDIANTE RESOLUCIÓN GERENCIAL MUNICIPAL N°587-2022-MPSM/GM Y LIQUIDACIÓN DE SUPERVISIÓN MEDIANTE RESOLUCIÓN GERENCIAL MUNICIPAL N°611-2022-MPSM/GM. SE TIENE PENDIENTE LA TRANSFERENCIA DEL PROYECTO Y SU CIERRE.
SE NOTIFICÓ MEDIANTE CORRE ELÉCTRONICO A LA OCI DE LA MUNICIPALIDAD PROVINCIAL DE SAN MIGUEL CON FECHA 28/11/2025, EL OFICIO N° 2292-2025-MINEDU/VMGI-PRONIED-UGSC DONDE SE INFORMA AL ORGANO DE CONTROL INTERNO EL INCUMPLIMIENTO DE REGISTRO DE INFORMACIÓN Y CIERRE DEL PROYECTO DE INVERSIÓN CON CUI 2310958, A CARGO DE LA MUNICIPALIDAD PROVINCIAL DE SAN MIGUEL.
</t>
  </si>
  <si>
    <t xml:space="preserve">LIQUIDACIÓN DE OBRA
LA OBRA SE ENCUENTRA CULMINADA (14/10/2022) Y RECEPCIONADA ( 05/12/2022), SE INDICA QUE SE TIENE APROBADA LA LIQUIDACION DE LA EJECUCION DE LA OBRA, MEDIANTE RESOLUCION DE ALCALDIA N° 0393-2022-MDP/A. A LA FECHA SE HACE DE CONOCIMIENTO QUE ESTA OBRA SE ENCUENTRA EN RIESGO, PUESTO QUE LA ESTRUCTURA SE ENCUENTRA SOBRE UN TERRENO INESTABLE Y TALUD PRONUINCIADO, LA MISMA QUE CORRE EL RIESGO DE DESLIZAMIENTO POR LA PRESENCIA DE LAS LLUVIAS QUE SON TIPICAS DE LA ZONA.
SE NOTIFICÓ MEDIANTE CORRE ELÉCTRONICO A LA OCI DE LA MUNICIPALIDAD PROVINCIAL DE JAEN CON FECHA 28/11/2025, EL OFICIO N° 2294-2025-MINEDU/VMGI-PRONIED-UGSC DONDE SE INFORMA AL ORGANO DE CONTROL INTERNO EL INCUMPLIMIENTO DE REGISTRO DE INFORMACIÓN Y CIERRE DEL PROYECTO DE INVERSIÓN CON CUI 2344290, A CARGO DE LA MUNICIPALIDAD DISTRITAL DE POMAHUACA.
</t>
  </si>
  <si>
    <t xml:space="preserve">LIQUIDACIÓN DE OBRA
LA OBRA SE ENCUENTRA CULMINADA (23/09/2022), RECEPCIONADA (21/10/2022) Y LIQUIDADA . SE TIENE UN AVANCE FÍSICO ACUMULADO AL 100% Y UN AVANCE FINANCIERO AL 95,6%. SE CUENTA CON LIQUIDACION DE OBRA MEDIANTE RESOLUCIÓN GERENCIAL MUNICIPAL N°589-2022-MPSM/GM Y LIQUIDACIÓN DE SUPERVISIÓN MEDIANTE  RESOLUCIÓN GERENCIAL MUNICIPAL N°609-2022-MPSM/GM. SE TIENE PENDIENTE LA TRANSFERENCIA DEL PROYECTO Y SU CIERRE.
SE NOTIFICÓ MEDIANTE CORRE ELÉCTRONICO A LA OCI DE LA MUNICIPALIDAD PROVINCIAL DE SAN MIGUEL CON FECHA 01/12/2025, EL OFICIO N° 2307-2025-MINEDU/VMGI-PRONIED-UGSC DONDE SE INFORMA AL ORGANO DE CONTROL INTERNO EL INCUMPLIMIENTO DE REGISTRO DE INFORMACIÓN Y CIERRE DEL PROYECTO DE INVERSIÓN CON CUI 2460343, A CARGO DE LA MUNICIPALIDAD PROVINCIAL DE SAN MIGUEL.
</t>
  </si>
  <si>
    <t xml:space="preserve">OBRA PARALIZADA
 DESDE EL 20/07//2024 Y 26/08/24
EL 27 DE NOVIEMBRE, SE HA REMITIDO CORREO ELECTRÓNICO AL JEFE DE LA OCI DE LA MP ANTONIO RAYMONDI  CONSULTANDO POR ACCIONES DE CONTROL REALIZADAS, EN RELACIÓN AL PROYECTO DE INVERSIÓN
IEI 407
INICIO 14/02/2023
CULMINACION PROGRAMADA 31/01/24
REPROGRAMACIÓN; 13/07/2024
SUSPENDIDA EL 20/07/204
LA OBRA  QUEDÓ  CON UN AVANCE FISICO DE 74,08% AL 27/07/,2024
IE 86231
INICIO 08/02/2023
CULMINACION PROGRAMADA 31/01/24
REPROGRAMACIÓN; 11/04/2024
SUSPENDIDA EL 26/02024
LA OBRA  QUEDÓ  CON UN AVANCE FISICO DE 90,86% AL 25,08,2024 SIENDO SU AVANCE PROGRAMADO DE 96,29%, EL MOTIVO FUE POR LOS TRAMITES PARA CONEXIÓN DEL FLUIDO ELECTRICO
</t>
  </si>
  <si>
    <t>LIQUIDACIÓN DE OBRA
CULMINACION DE OBRA: 02/01/2023 - RECEPCION DE OBRA: 02/03/2023 - INAUGURACION: 12/03/2023
LIQUIDACION DE OBRA: 29/05/2023 CON RESOLUCION DE ALCALDIA N°088-2023-MDA/A
PENDIENTE UEI REMITA E INFORME SOBRE LIQUIDACIÓN DE SUPERVISIÓN DE OBRA Y ACTA DE TRANSFERENCIA DE IE, PARA EL CIERRE DEL PI
DESDE LA UGSC, SE HA REMITIDO EL 25/04/2025 EL OFICIO N° 571-2025-MINEDU/VMGI-PRONIED-UGSC A LA MUNICIPALIDAD, COMUNICANDO INCUMPLIMIENTO DE REGISTRO DE INFORMACIÓN Y CIERRE</t>
  </si>
  <si>
    <t xml:space="preserve">SUSPENDIDA
SUBGERENTE DE INFRAESTRUCTURA ING SILVERIO MORA, REMITE A TRAVÉS DE MEDIOS ELECTRÓNICOS ACTA DE SUSPENSIÓN N°10 INDICANDO QUE LA OBRA SE ENCUENTRA SUSPENDIDA DESDE EL 03/11 HASTA QUE SE APRUEBE EL EXPEDIENTE ADICIONAL-DEDUCTIVO N° 03 CORRESPONDIENTE AL SISTEMA DE MEDIA TENSIÓN
MEDIANTE OFICIO N° 62-2026-MDSR/A, LA MUNICIPALIDAD SEÑALA QUE LA OBRA SE ENCUENTRA SUSPENDIDA, EN PROCESO DE APROBACIÓN DE MAYORES PRESTACIONES PARA LA SUPERVISIÓN POR LA AMPLIACIÓN DE PLAZO N° 8,  APROBADA EL 19/12/2026, DEBIDO A A LA APROBACIÓN DEL ADICIONAL-DEDUCTIVO N° 03. ADEMÁS QUE ADICIONAL DE OBRA N° 01 Y N° 02 CON UN AVANCE DEL 100% 
</t>
  </si>
  <si>
    <t xml:space="preserve">EN EJECUCION DE OBRA - FUERA DE PLAZO 
I ETAPA CULMINADA EN EL 2021
II ETAPA EN EJECUCIÓN POR AI, SE ENCUENTRA AL 97.39% DE AVANCE (DIC 24).
MEDIANTE INFORME N° 00497-2025-MINEDU-VMGI-PRONIED-UZLA (12.05.2025) LA UNIDAD ZONAL DE LAMBAYEQUE REMITE VISITA DE MONITOR DE FECHA 08.05.2025 EN LA QUE SE INDICA QUE LA OBRA SE ENCUENTRA ATRASADA EN 2.85%, ADEMÁS QUE EN LA INSPECCIÓN NO SE ENCONTRÓ AL RESIDENTE Y SOLO SE ENCONTRARON DOS TRABAJADORES QUE VIENEN REALIZANDO TRABAJOS DE RELLENO DE ZANJAS EN LAS TUBERIAS DE AGUA EN EL CAMPO DEPORTIVO, OBRA PRESENTA OBSERVACIONES AL PROCESO CONSTRUCTIVO Y METAS POR EJECUTAR POR LO QUE SE LE NOTIFICÓ A LA UEI SOBRE LAS ACCIONES A CONSIDERAR PARA LA CULMINACIÓN SIN EMBARGO A LA FECHA NO DA RESPUESTA. UEI NO REMITE INFORME DE ESTADO SITUACIONAL
MONITOR ALCANZA ACTA DE REINICIO DE OBRA MEDIANTE LA CUAL SE REINICIA LA EJECUCION DE OBRA EL 25 SET 2024. ASIMISMO, MONITOR INDICA QUE CUMINACION PROGRAMADA ERA EL 30 SET 2024, POR LO QUE SE ESTARÍA EJECUTANDO FUERA DE PLAZO.
MEDIANTE INFORME N° 1424-2024-MINEDU-VMGI-PRONIED-UZLA (07.11.2024) EL MONITOR DE OBRA INFORMA QUE EN VISITA DEL 29.10.2024 ENCONTRO A LA OBRA EN EJECUCIÓN DE LAS SIGUIENTES PARTIDAS:
- BLOQUE I: INSTALACION DE PUERTAS, CABLEADO DE SISTEMA ELECTRICO, INSTALACION DE APARATOS SANITARIOS EN SSHH
- BLOQUE II: INSTALACION DE PUERTAS, CABLEADO DE SISTEMA ELECTRICO, INSTALACION DE APARATOS SANITARIOS EN SSHH, INSTALACION DE VENTANAS, INSTALACION DE ZOCALOS EN SSHH
- SSHH CAMPO DEPORTIVO: INSTALACION DE PROTECTORES DE FIERRO EN VENTANAS, CABLEADO DE SISTEMA ELECTRICO, INSTALACION DE APARATOS SANITARIOS EN SSHH, APLICACION DE PINTURA BASE
- GRADERÍAS: INSTALACION DE PROTECTORES DE FIERRO EN VENTANAS, CABLEADO DE SISTEMA ELECTRICO
- LOSA DEPORTIVA: PINTADO DE COLUMNAS Y VIGAS
- CERCO PERIMETRICO: ASENTADO DE LADRILLO, INSTALACION DE MALLA ELECTROSOLDADA
- OBRAS EXTERIORES: PINTADO DE COLUMNAS Y VIGAS DE COBERTURA DE PATIO DE FORMACION
SEGUN VAL SET 2024, LA OBRA SE CUENTA CON UN AVANCE FÍSICO ACUMULADO DE 97.15% VS UN PROGRAMADO DE 100%.
PROYECTO FUE FINANCIADO MEDIANTE LEY DE PRESUPUESTO 2023 A PESAR DE NO CONTAR CON OPINION FAVORABLE DE PRONIED.
I ETAPA CULMINADA EN EL 2021
</t>
  </si>
  <si>
    <t>DS N° 394-2017-EF</t>
  </si>
  <si>
    <t>LIQUIDACIÓN DE OBRA
OBRA CULMINADA 12/06/2018 - RECEPCIONADA 05/10/2018
LIQUIDACIÓN DE CONTRATO DE OBRA: RESOLUCION OFICINA REGIONAL DE ADMINISTRACION 102-2023_GOBIERNO REGIONAL PIURA-ORA (11/04/2023), LIQUIDACIÓN DE CONTRATO DE SUPERVISIÓN DE OBRA: RESOLUCION OFICINA REGIONAL DE ADMINISTRACION 152-2020_GOBIERNO REGIONAL PIURA-ORA (28/08/2020)
 PENDIENTE UEI CONFIRME TRANSFERENCIA PARA EL CIERRE DEL PROYECTO.
DESDE LA UGSC SE HA REMITIDO, EL OFICIO N° 1985-2025-MINEDU-VMGI-PRONIED-UGSC, EL 20/10/2025 A LA OCI EL GORE PIURA, COMUNICANDO EL INCUMPLIMIENTO DE REGISTRO DE INFORMACIÓN Y CIERRE DEL PROYECTO DE INVERSIÓN CON CUI Nº 2195218</t>
  </si>
  <si>
    <t>2265279</t>
  </si>
  <si>
    <t xml:space="preserve">LIQUIDACION DE OBRA 
OBRA SE ENCUENTRA CULMINADA AL 100% EN SU EJECUCIÓN FISICA Y EN SU EJECUCION CON RESPECTO A LA INVERSION ESTA AL 100 %, EL PROYECTO DE INVESION YA CUENTA CON LA LIQUIDACION DEL CONTRATO DE OBRA N° 002-2022-MDC/A CORRESPONDIENTE A SERVICIO DE SUPERVISION. PENDIENTE DE CIERRE EN EL SSI.
</t>
  </si>
  <si>
    <t xml:space="preserve">RECEPCION DE OBRA
ACTA DE RECEPCIÓN DE FECHA 26/03/2024  Y SE ENCUENTRA EN PROCESO DE LIQUIDACIÓN DE CONTRATO DE OBRA.
INICIO OBRA: 22/12/2022 - PLAZO: 210DC - FECHA DE CULMINACION: 19/07/2023, FECHA REPROGRAMACION: 22/10/2023, REPROGRAMACION 19/01/2024
FECHA APROBRACION ET – 03/11/21
POSTOR EJECUTOR – CONSORCIO INGENIERIA SANTA ROSA POR EL MONTO DE S/13,733,283.27
POSTOR SUPERVISION – CONSORCIO - CONSORCIO ALTIPLANO POR EL MONTO DE S/327,602.02
</t>
  </si>
  <si>
    <t xml:space="preserve">RECEPCION - SALDO DE OBRA
MEDIANTE EXPEDIENTE  I-009863-2025,  SE COMUNICA INCUMPLIMIENTO DE CIERRE DEL PI, CON OFICIO N° 002356-2025-MINEDU-VMGI-PRONIED-UGSC, NOTIFICADO EL 29/12/2025.
OBRA PRINCIPAL_ 
FECHA APROBACION ET: 01/10/21 
POSTOR EJECUTOR - MAVIL CONTRATISTAS GENERALES EMPRESA INDIVIDUAL DE RESPONSABILIDAD LIMITADA monto por s/10,690,000.00
INICIO DE OBRA: 17/01/2022 - PLAZO: 300 DC - FECHA DE CULMINACION: 12/11/2022 FECHA REPROGRAMACION: 02/02/2023
PARALIZACION: 31/10/2023
RESOLUCION DE CONTRATO: CARTA NOTARIAL N°016-2023-MAVILCGEIRL/G
OBRA PRINCIPAL: 98.40% EJECUTACION POR AI 
SALDO DE OBRA_ADMINISTRACION DIRECTA
INICIO EJECUCION SALDO DE OBRA: 07/02/2024 PLAZO DE 20 DC 
CULMINACION PROGRAMADA EJECUCION SALDO DE OBRA: 09/03/2024
SALDO DE OBRA: 100% EJECUTACION POR AD
ESTADO RECEPCION: 14/03/2024
EN PROCESO DE EVALUACION DEL INFORME FINAL DE LA OFICINA DE SUPERVISION Y LIQUIDACION DE INVERSIONES; PARA SU POSTERIOR LIQUIDACION TECNICA FINANCIERA.
</t>
  </si>
  <si>
    <t>DS 256-2023-EF</t>
  </si>
  <si>
    <t>OBRA PARALIZADA
EL 10 DE DICIEMBRE, SE HA REMITIDO CORREO ELECTRÓNICO AL JEFE DE LA OCI DE LA MP CHUMBIVILCAS  CONSULTANDO POR ACCIONES DE CONTROL REALIZADAS, EN RELACIÓN AL PROYECTO DE INVERSIÓN
REINICIO 03/05/2025
TERMINO PRG. 
INICIO 21/03/2022
SUSPENDIDO DESDE EL 14/07/2024
REINICIO EL 20/02/2025
PARALIZACIÓN DESDE EL 05/03/2025
REINICIO EL 03/06/2025</t>
  </si>
  <si>
    <t>LIQUIDACIÓN DE OBRA - SALDO DE OBRA
SALDO DE OBRA:  INICIO DE OBRA 09/10/2023 - CULMINACIÓN 23/10/2024 - RECEPCIÓN DE OBRA: 20/12/2024
LIQUIDACIÓN SALDO DE OBRA: RA N°52-2025-MDS-A - 30/01/2025 ADQUISICIÓN DE MOBILIARIO: RA N°272-2025-MDS-A - 11/10/2025
ADQUISICIÓN EQUIPAMIENTO (COMPUTO/RED/TV): RA N°286-2025-MDS-A - 10/10/2025
UEI REMITE OFICIO N° 444-2025-MDS-A (30/10/2025), A TRAVÉS DEL CUAL, INFORMA QUE LA INFRAESTRUCTURA Y MOBILIARIO SE ENCUENTRA CULMINADO AL 100% , SOBRE EL EQUIPAMIENTO SE ENCUENTRA PENDIENTE DE ENTREGAR MICROSCOPIO Y EQUIPO DE SONIDO, ADEMÁS DE REALIZAR EL COMPONENTE DE CAPACITACIÓN QUE SE ENCUENTRA EN CONVOCATORIA
EL COMPONENTE DE CAPACITACIÓN SE ENCUENTRA CONTRATADO EL 05/12/2025 (CONTRATO N°009-2025-MDS-UACP), CON UN PLAZO DE EJECUCIÓN DE 35DC, CON FECHA DE CULMINACIÓN EL 09/01/2026. 
SEGÚN INSPECCIÓN DE UNIDAD ZONAL DE PIURA, LA IE ESTÁ EN USO, SEGÚN ACTA DE ACUERDO DE UTILIZACIÓN (12/03/2025) REGISTRÓ NOTIFICACIÓN Nº 007-2025-MINEDU/VMGI-PRONIED/UZPIURA-HEBB, EN LA QUE SEÑALA QUE SE MANTIENEN OBSERVACIONES REPORTADAS PREVIAMENTE Y HAY NUEVAS OBSERVACIONES</t>
  </si>
  <si>
    <t>AGOSTO _ MEDIANTE I-020153-2025, 	INFORME N° 001178-2025-MINEDU-VMGI-PRONIED-UGSC-COMS, SE COMUNICA INCUMPLIMIENTO DE REGISTRO DE INFORMACIÓN Y CIERRE DEL PROYECTO DE INVERSIÓN CON CUI. Nº 2296996, A CARGO DE LA MUNICIPALIDAD DISTRITAL DE MOLLEPATA.
OBRA III ETAPA CULMINADA (DIC 2022), RECEPCIONADA (MAY 2023) Y CUENTA CON APROBACION DE LIQUIDACION DE CONTRATO DE OBRA MEDIANTE RES ADM GEN N° 017-2023-MDM/ADM.
EN DICHA RES SE RECONOCE UN SALDO A FAVOR DEL CONTRATISTA POR CONCEPTO DE VALORIZACION N° 04 Y REAJUSTE DE FORMULA POLINOMICA POR EL MONTO DE S/ 165,362.93.</t>
  </si>
  <si>
    <t>EN LIQUIDACION DE OBRA, MEDIANTE RESOLUCIÓN DE GERENCIA MUNICIPAL N° 358-2022-MDV-CH CON FECHA 27 DE DICIEMBRE DE 2022, PAGO PENDIENTE A FAVOR DEL CONTRATISTA DE S/ 694.000,95 PARA PROCEDER CON EL CIERRE DEL PI
27/05/2025 DESDE LA UGSC SE NOTIFICÓ A LA UEI, VÍA CORREO ELECTRÓNICO, EL OFICIO N° 0838-2025-MINEDU-VMGI-PRONIED-UGSC DE FECHA 26/05/2025 LA SOLICITUD DE CIERRE DE PI Y REMISIÓN DEL ESTADO SITUACIONAL MENSUAL SOBRE LA EJECUCIÓN DEL PI Y EL USO DE RECURSOS TRANSFERIDOS.
*INICIO DE OBRA 10/02/22, CULMINACIÓN 30/11/2022, RECEPCION 15/12/2022, INUGURACIÓN 16/12/2022 Y  LIQUIDACIÓN 27/12/2022
 RESOLUCIÓN DE GERENCIA MUNICIPAL N° 358-2022-MDV-CH CON FECHA 27 DE DICIEMBRE DE 2022,</t>
  </si>
  <si>
    <t>LIQUIDACIÓN DE OBRA
CONTRATO INICIAL: INICIO DE OBRA 15/01/2013, CON CONTRATO RESUELTO POR INCUMPLIMIENTO DE PLAZO CONTRACTUAL, ALCANZANDO PENALIDAD MÁXIMA, A TRAVÉS DE RER Nº 133-2014-GRH/PR (31/01/2014)
SALDO DE OBRA: EJECUTADO POR ADM DIRECTA. INICIO DE OBRA 17/04/2017 - CULMINADO 22/01/2018. RECEPCION DE OBRA_ 06/04/2018 (NO SE CUENTA CON ACTA) CON RESOLUCIÓN DE GASTOS OPERATIVOS: RGR Nº000388-2021-GRH_GRI (16/07/2021) Y GASTOS OPERATIVOS DE SUPERVISIÓN:  RGR Nº000386-2021-GRH_GRI (16/07/2021) 
SEGÚN REGISTRO EN BANCO DE INVERSIONES, SE ENCUENTRA PENDIENTE LIQUIDACIÓN POR FABRICACION E INSTALACION DE PUERTAS, VENTANAS Y JUEGOS RECREATIVOS (CONTRATO Nº004-2018-GRH/GR-2)
DESDE LA UGSC SE HA REMITIDO, EL OFICIO N° 1925-2025-MINEDU-VMGI-PRONIED-UGSC, EL 16/10/2025 A LA OCI DEL GORE HUÁNUCO COMUNICANDO EL INCUMPLIMIENTO DE REGISTRO DE INFORMACIÓN Y CIERRE DEL PROYECTO DE INVERSIÓN CON CUI Nº 21604727</t>
  </si>
  <si>
    <t>SALDO DE OBRA - PARALIZADA
EL SALDO DE OBRA SEL PROYECTO SE ENCUENTRA PARLIZADA. 
GOBIERNO REGIONAL HA INDICADO QUE EN LA ETAPA DE EJECUCIÓN DE OBRA POR ADM DIRECTA EXISTIERON INCONVENIENTES QUE CONLLEVARON A QUE EN LA ACTUALIDAD EL PROYECTO AUN NO SEA RECEPCIONADO. TIENEN PENDIENTE DE ELABORAR EL ESTADO SITUACIONAL Y DIAGNOSTICO EN EL MARCO DE LA LEY 31589-REACTVACION DE OBRAS PUBLICAS PARALIZADAS
DESDE LA UGSC SE HA REMITIDO AL GOBIERNO REGIONAL, EL OFICIO N° 001468-2025-MINEDU-VMGI-PRONIED-UGSC, A TRAVÉS DEL CUAL, RECOMIENDA REALIZAR LAS ACCIONES PARA LA REACTIVACIÓN DE LA EJECUCIÓN DE OBRA Y CULMINACIÓN DE TRABAJOS PENDIENTES
DESDE LA UGSC, SE HA REMITIDO A LA OCI DEL GOBIERNO REGIONAL EL DÍA 22/07/2025 EL OFICIO N° 1220-2025-MINEDU/VMGI-PRONIED-UGSC, COMUNICANDO EL ESTADO DEL PROYECTO Y LA NO CULMINACIÓN DEL PROYECTO DE INVERSIÓN CON CUI Nº 2160425, A CARGO DEL MENCIONADO GOBIERNO REGIONA</t>
  </si>
  <si>
    <t>PARALIZADA - SALDO DE OBRA
CONTRATO INICIAL: INICIO DE OBRA 16/02/2013, CON CONTRATO RESUELTO A TRAVÉS DE RER Nº 2552-2013-GRH/PR (13/12/2013) - RESOLUCIÓN EJECUTIVA REGIONAL N.º 668-2016-GRH/GR (01/08/2016) APRUEBAN INFORME DE CORTE TÉCNICA FINANCIERO - 71%
SALDO DE OBRA: EJECUTADO POR ADM DIRECTA. INICIO DE OBRA 01/08/2017 - CULMINADO 31/12/2017. SIN RECEPCIÓN DE OBRA
MEDIANTE R.E.R.N°00398-2024-GRH/GR EL GORE APRUEBA EL INFORME DE ESTADO SITUACIONAL Y LISTA PRIORIZADA DE OBRAS PÚBLICAS PARALIZDAS, EN MERITO DE LA LEY Nº 35589, LEY QUE GARANTIZA LA REACTIVACIÓN DE OBRA PUBLICAS PARALIZADAS - 49,67% EJECUTADO
GOBIERNO REGIONAL EN BANCO DE INVERSIONES EL 06/02/2026, INDICA QUE SE ENCUENTRA PENDIENTE LA HABILITACIÓN DE RECURSOS PRESUPUESTALES QUE PERMITAN LA CONTRATACIÓN DE SERVICIOS NECESARIOS A FIN DE INICIAR EL PROCESO DE REFORMULACIÓN DEL ET DE CULMINACIÓN DE OBRA
DESDE LA UGSC SE HA REMITIDO AL GOBIERNO REGIONAL, EL OFICIO N° 001470-2025-MINEDU-VMGI-PRONIED-UGSC , A TRAVÉS DEL CUAL, RECOMIENDA REALIZAR LAS ACCIONES PARA LA REACTIVACIÓN DE LA EJECUCIÓN DE OBRA Y CULMINACIÓN DE TRABAJOS PENDIENTES
DESDE LA UGSC, SE HA REMITIDO A LA OCI DEL GOBIERNO REGIONAL EL DÍA 10/07/2025 EL OFICIO N° 1155-2025-MINEDU/VMGI-PRONIED-UGSC, COMUNICANDO EL ESTADO DEL PROYECTO Y LA NO CULMINACIÓN DEL PROYECTO DE INVERSIÓN CON CUI Nº 2161116, A CARGO DEL MENCIONADO GOBIERNO REGIONAL</t>
  </si>
  <si>
    <t xml:space="preserve">CULMINACION DE OBRA
OBRA CULMINADA  EL 11/12/2023 CON DEFICIENCIAS EN SU FUNCIONAMIENTO, CUENTA AUN CON OBSERVACIONES POR SUBSANAR. SE ENCUENTRA EN PROCESO DE RECEPCION DE OBRA E INAUGURADA EN DICIEMBRE DEL 2023,  SIN CONTAR CON ACTA DE RECEPCION. 
</t>
  </si>
  <si>
    <t>DS N° 070-2014-EF</t>
  </si>
  <si>
    <t>CULMINACION DE OBRA - OBRA CULMINADA EN DIC 23
AÚN NO SE ENCUENTRA RECEPCIONADA POR EL COMITÉ DE RECEPCIÓN DE LA UNIDAD EJECUTORA, SIN EMBARGO YA SE ENCUENTRA EN USO POR PARTE DE LA COMUNIDAD EDUCATIVA
29/12/2025, MEDIANTE EXPEDIENTE I-009608-2025, SE REMITE OFICIO N° 002373-2025-MINEDU-VMGI-PRONIED-UGSC, REITERANDO SOLICITUD DE ESTADO SITUACIONAL
NOVIEMBRE, SOLICITUD DE INFORME SITUACIONAL
MODALIDAD DE EJECUCIÓN: ADM DIRECTA
CONVENIO: 109-2014-MINEDU.TRANSFERENCIAS: DECRETO SUPREMO: DS N° 070-2014-EF, DS N° 144-2016-EF
INICIO DE OBRA: 04/05/2015
FECHA TERMINO CONTRACTUAL: 15/09/2015
PARALIZACIONES:
PARALIZACIÓN DE OBRA N° 01: 16/09/2015 AL 30/09/2017
PARALIZACIÓN DE OBRA N° 02: 01/10/2017 AL 21/10/2018
PARALIZACIÓN DE OBRA N° 03: 01/01/2019 AL 14/05/2019
PARALIZACIÓN DE OBRA N° 04: 01/06/2019 AL 24/10/2021
PARALIZACIÓN DE OBRA N° 05: 09/12/2021 AL 11/09/2022
PARALIZACIÓN DE OBRA N° 06: 01/11/2022 AL 13/06/2023
PARALIZACIÓN DE OBRA N° 07: 15/06/2023 AL 31/08/2023
REINICIO DE OBRA: 01/09/2023
FECHA DE TERMINO REPROGRAMADO: 29/11/2023</t>
  </si>
  <si>
    <t xml:space="preserve">CULMINACION DE OBRA
CONVENIO: 109-2014-MINEDU. - TRANSFERENCIAS: DECRETO SUPREMO: DS N° 070-2014-EF,DS N° 144-2016-EF
29/12/2025, MEDIANTE EXPEDIENTE I-009608-2025, SE REMITE OFICIO N° 002373-2025-MINEDU-VMGI-PRONIED-UGSC, REITERANDO SOLICITUD DE ESTADO SITUACIONAL
NOVIEMBRE, PROYECTAR SOLICITUD DE INFORME SITUACIONAL Y/O INCUMLIMIENTO DE CIERRE
MODALIDAD DE EJECUCIÓN: ADM. DIRECTA
CONVENIO: 109-2014-MINEDU. - TRANSFERENCIAS: DECRETO SUPREMO: DS N° 070-2014-EF,DS N° 144-2016-EF
INICIO DE OBRA: 01/04/2015
FECHA TERMINO: 29/07/2015
AMPLIACIÓN DE PLAZO N° 01: 724 DÍAS CALENDARIO APROBADO CON RGGR Nº350-2017-GGR-GR PUNO.
AMPLIACIÓN DE PLAZO N° 02: 2,322 DÍAS CALENDARIO APROBADO CON RGGR Nº295-2023-GRI-GR PUNO
EXPEDIENTE TÉCNICO MODIFICADO: APROBADO CON RGGR Nº 295-2023-GRI-GR PUNO DE FECHA 22/08/2023
REINICIO DE OBRA: 09/08/2023
FECHA DE TERMINO REPROGRAMADO: 30/11/2023
OBRA CULMINADA EL 19/07/2024
</t>
  </si>
  <si>
    <t>EJECUCIÓN DE OBRA - RECEPCIONADA E INAUGURADA 
DESDE LA UGSC CON FECHA 20/11/2025 SE NOTIFICÓ A LA UEI, VÍA CORREO ELECTRÓNICO, EL OFICIO N° 2226-2025-UGSC E INFORME N° 1837-2025-COMS MEDIANTE LOS CUALES SE SOLICITA A LA UEI EFECTÚE EL CIERRE DE PI Y REMITA UN INFORME SOBRE LAS ACCIONES REALIZADAS PARA EL CIERRE DEL MISMO. SIN RESPUESTA DE LA UEI.
05/11/2025: LA UNIDAD ZONAL CUSCO REMITIÓ EL INFORME N° 115-2025-MINEDU-VMGI-PRONIED -UZCU, DEL 04/09/2025   DE  LA MONITORA DE CAMPO MEDIANTE EL CUAL REPORTA EL RESULTADO DE SU PARTICIPACIÓN EL PROCESO DE RECEPCIÓN D ELA OBRA EFECTUADA EL 30 DE MAYO 2025, MENCIONA QUE EN SU  PARTICIPACIÓN COMO VEEDORA PERMITIÓ VERIFICAR LA TRANSPARENCIA DEL PROCESO DE RECEPCIÓN DE OBRA DE LA I.E. N° 50224 
30/07/2025 DE LO INFORMACO POR LA ING GABRIELA LECAROS, ENCARAAD DE OBRAS DE LA UEI SEÑALA QUE LA OBRA  FUE INAUGURADA EL 24/07/2025, (NO COMUNICARON A PRONIED ) 
INICIO DE OBRA 17,01,2022
OBRA CULMINADA EL 30/04/2025
RECEPCIÓN 14/07/2025
INAUGURADA: 24/07/2025</t>
  </si>
  <si>
    <t>OBRA CULMINADA (04.04.2019), RECEPCIONADA (13.05.2019) Y CUENTA CON APROBACIÓN DE LIQUIDACION DE CONTRATO DE EJECUCION DE OBRA APROBADA MEDIANTE R.G.R.I N° 611-2023-GRJ/GRI CON SALDO A FAVOR DEL CONTRATISTA DE S/ 29,283.73 (26.10.2023)
MEDIANTE OFICIO 011-2025-GRJ-GRI/SGSLO (16.01.2025) EL GR REMITE EL ESTADO SITUACIONAL DEL PI EN RESPUESTA AL OFICIO N° 681-2024-MINEDU/VMGI-PRONIED-UGSC (23.12.2024) DONDE SE LE COMUNICA A LA ENTIDAD EL INCUMPLIMIENTO DE REGISTRO DE INFORMACIÓN Y CIERRE DEL PI EN EL BANCO DE INVERSIONES.
AL RESPECTO INFORMA QUE SE ENCUENTRA PENDIENTE LA LIQUIDACION TECNICA FINANCIERA PARA PROCEDER CON LA TRANSFERENCIA AL SECTOR; SIN EMBARGO, NO INDICA EL ESTADO ACTUAL DE DICHA LIQUIDACION.
CON FECHA 20.01.2025, UEI HA REGISTRADO EN SU FORMATO N° 12-B QUE LA SUPERVISION DE OBRA SE ENCUENTRA EN PROCESO DE LIQUIDACION.</t>
  </si>
  <si>
    <t xml:space="preserve">
14/03/2025 LIQUIDACIÓN DE OBRA_DESDE LA UGSC, SE HA REMITIDO EL 13/02/2025 EL OFICIO N° 049-2025-MINEDU/VMGI-PRONIED-UGSC A LA MUNICIPALIDAD, COMUNICANDO INCUMPLIMIENTO DE REGISTRO DE INFORMACIÓN Y CIERRE
PENDIENTE UEI REMITA E INFORME SOBRE LIQUIDACIÓN DE OBRA PRINCIPAL, SUPERVISIÓN DE OBRA Y ACTA DE TRANSFERENCIA DE IE, PARA EL CIERRE DEL PI
OBRA CULMINADA - RECEPCIONADA - LIQUIDADA (TECNICO-FINANCIERO) Y CERRADA - (REABIERTO)
RESOLUCIÓN GERENCIAL REGIONAL N° 559-2019-GR CUSCO / GRSLI (31.12.2019)
EN PROCESO DE LIQUIDACIÓN, TRANSFERENCIA EN PROPIEDAD Y REGISTRO DE CIERRE</t>
  </si>
  <si>
    <t>DS N° 122-2015-EF</t>
  </si>
  <si>
    <t>OBRA RECEPCIONADA
TIENE CONVENIO 2015, SOLO RECIBIO RECURSOS EN EL 2015.
LA OBRA SE ENCUENTRA EN RECEPCIÓN DEL SALDO DE OBRA, LA UEI REMITE LA SIGUIENTE INFORMACIÓN: RESOLUCIÓN DE ALCALDÍA N° 428-2023-MPLM-SM/A (23/06/2023) DONDE SE APRUEBA EL EXPEDIENTE DE SALDO DE OBRA , INFORME N° 082-2023-MPLM-SM/PPM (21/08/2023) DONDE SE REMITE EL INFORME SITUACIONAL  DEL PROCESO JUDICIAL DE LA OBRA PRINCIPAL Y FUNCIONARIOS, OFICIO N°228-2023-MPLM-SM/A (19/04/2023) EN EL CUAL SE SOLICITA  A LA FISCALIA LA DEVOLUCIÓN DE LOS EXPEDIENTES COMPLETOS DE LA OBRA PRINCIPAL Y ACTA DE OBSERVACIONES DE OBRA (01/03/2024). RESPECTO AL SALDO DE OBRA EJECUTADO BAJO ADMINISTRACIÓN DIRECTA QUE ACTUALMENTE SE ENCUENTRA EN RECEPCIÓN.</t>
  </si>
  <si>
    <t xml:space="preserve">SALDO DE OBRA CULMINADO (EQUIPAMIENTO +MOBILIARIO PENDIENTE)
INICIO DE PLAZO: 11 ENERO 2022, TÉRMINO DE OBRA: 06 NOVIEMBRE 2022, AMPLIACIÓN 01: 9 DÍAS, A,PLIACIÓN 02: 25 DÍAS.
OBRA PRINCIPAL: CON CONTRATO RESUELTO, INCIÓ OBRA EL 06/12/2022, CON PLAZO DE EJECUCIÓN DE 300DC,  MEDIANTE LA RESOLUCIÓN DE ALCALDIA N° 089-2023MDV/A (25/07/2023) SE RESUELVE EL CONTRATO DEBIDO A QUE SE PRESENTO DOCUMENTOS FALSOS E INEXACTOS, LA OBRA TUVO UN AVANCE REAL DE OBRA DE 58,97% COMO SE INDICA EN EL INFORME N° 036-2024-MDV-SGIDUR/YGP.
SALDO DE OBRA: MEDIANTE INFORME N 23-20258-CCV-MINEDU-VMGI-PRONIED-UZAY (12/06/2025) DONDE EL MONITOR INFORMA SOBRE LA VISITA REALIZADA EL 29/05/2025, INDICANDO QUE SE HA CULMINADO TODAS LA PARTIDAS CONTRACTUALES Y ADICIONALES DE LOS COMPONENTES A NIVEL DE INFRAESTRUCTURA AL 100% CON FECHA DEL 31/03/2025. SIN EMBARGO SE TIENE PENDIENTE LA IMPLEMENTACIÓN DE MOBILIARIO Y EQUIPAMINETO. POR OTRO LADO, DEL RECORRIDO REALIZADO SE HA CONSTATANDO QUE SE VIENEN UTILIZANDO ALGUNOS AMBIENTES INTERNOS. LA ZONAL DE AYACUCHO REMITE EL OFICIO N° 03-2025-MINEDU-VMGI-PRONIED-UZAY (24/06/2025) MEDIANTE EL CUAL SE REMIE LA NOTIFICACIÓN N° 0001-2025-MINEDU/VMGI-PRONIED/UZAYACUCHOS. ADICIONALMENTE LA MONITORA REMITE EL ACTA DE LA AUTORIZACIÓN DE USO DE AMBIENTES DEL PROYECTO OTORGADO POR LA UGEL HUAMANGA (14/04/2025), POR OTRO LADO, SE TIENE TAMBIEN EL ACTA DE SUPERVISIÓN DE LOS NUEVOS AMBIENTES, DONDE SE VERIFICA ESPACIO POR ESPACIO Y SE REALIZAN LAS OBSERVACIONES CORRESPONDIENTES DE PARTE DE LA UGEL CON FECHA 24/04/2025. </t>
  </si>
  <si>
    <t>DS 204-2024-EF</t>
  </si>
  <si>
    <t>APTO PARA FINANCIAMIENTO
EN EL 2024 NO LOGRARON OTORGAR LA BUENA PRO POR DEMORAS EN EL PROCESO DE SELECCIÓN.
PI CULMINADO ASITEC BENEFICIADO POR EL DS 204-2024-EF (31.10.2024).
SE VERIFICA EN EL SEACE QUE SE HA POSTERGADO LA ABSOLUCION DE CONSULTAS "POR FALTA DE ABSOLUCIÓN DE CONSULTAS Y OBSERVACIONES POR PARTE DE ÁREA USUARIA" HASTA EL 10 DIC 2024. FECHA PROGRAMADA DE BUENA PRO SE MANTIENE.
SE VERIFICA EN EL SEACE QUE EL 15 NOV 2024 SE HA DADO INICIO A LA CONVOCATORIA DE EJECUCION DE OBRA MEDIANTE UNA LICITACION PUBLICA, TENIENDO COMO FECHA PROGRAMADA DE BUENA PRO EL 20 DIC 2024.
CABE MENCIONAR QUE OBRA DEBERÁ CONTAR CON CONTRATO FIRMADO PARA LOGRAR EL COMPROMISO DE LOS RECURSOS.
SE VISUALIZA EN EL BANCO DE INVERSIONES QUE LA ENTIDAD HA ACTUALIZADO EL COSTO DEL PI, SEGUN EL SIGUIENTE DETALLE:
COSTO ANTERIOR: 3,181,475.96
COSTO ACTUALIZADO: 3,505,929.11
VARIACIÓN: 10.20%
CABE MENCIONAR QUE NO SE ENCUENTRA SUSTENTO NI LA RESOLUCION QUE APRUEBA DICHO COSTO EN EL FORMATO N° 08-A DEL BANCO DE INVERSIONES, LO CUAL HA SIDO ALERTADO MEDIANTE CORREO ELECTRONICO (11.11.2024).</t>
  </si>
  <si>
    <t>APTO PARA FINANCIAMIENTO
EN EL 2024 NO LOGRARON OTORGAR LA BUENA PRO POR DEMORAS EN EL PROCESO DE SELECCIÓN.
PI CULMINADO ASITEC BENEFICIADO POR EL DS 204-2024-EF (31.10.2024).
SE VERIFICA EN EL SEACE QUE CON FECHA 12 DIC SE HA REALIZADO LA INTEGRACION DE BASES. POR OTRO LADO, SE VERIFICA QUE SE HA POSTERGADO EL OTORGAMIENTO DE BUENA PRO AL 27 DIC. 
SE ALERTA QUE ES PROBABLE QUE EL PI NO CUENTE CON CONTRATO SUSCRITO EN EL PRESENTE AÑO POR LO QUE NO PODRÁ REALIZAR EL COMPROMISO DE LOS RECURSOS.
SE VERIFICA EN EL SEACE QUE EL 15 NOV 2024 SE HA DADO INICIO A LA CONVOCATORIA DE EJECUCION DE OBRA MEDIANTE UNA LICITACION PUBLICA, TENIENDO COMO FECHA PROGRAMADA DE BUENA PRO EL 20 DIC 2024.
CABE MENCIONAR QUE OBRA DEBERÁ CONTAR CON CONTRATO FIRMADO PARA LOGRAR EL COMPROMISO DE LOS RECURSOS.
SE VERIFICA QUE ENTIDAD HA CUMPLIDO CON LA INCORPORACION DE LOS RECURSOS (S/ 1,376,898.00)  TRANSFERIDOS MEDIANTE EL DS 204-2024-EF.
SE VISUALIZA EN EL BANCO DE INVERSIONES QUE LA ENTIDAD HA ACTUALIZADO EL COSTO DEL PI, SEGUN EL SIGUIENTE DETALLE:
COSTO ANTERIOR: 6,884,489.30
COSTO ACTUALIZADO: 7,556,393.77
VARIACIÓN: 9.76%
CABE MENCIONAR QUE NO SE ENCUENTRA SUSTENTO NI LA RESOLUCION QUE APRUEBA DICHO COSTO EN EL FORMATO N° 08-A DEL BANCO DE INVERSIONES, LO CUAL HA SIDO ALERTADO MEDIANTE CORREO ELECTRONICO (11.11.2024).</t>
  </si>
  <si>
    <t>DS N° 102-2012-EF</t>
  </si>
  <si>
    <t>01.10.2025 - OBRA CULMINADA (2013), RECEPCIONADA (2013) Y CUENTA CON LIQUIDACION DE OBRA APROBADA MEDIANTE R.G.G.R. N° 267-2014-GRA/GGR.
MEDIANTE OFICIO N° 001626-2025-MINEDU/VMGI-PRONIED-UGSC (10.09.2025) SE COMUNICA AL OCI DE LA ENTIDAD EL INCUMPLIMIENTO DE REGISTRO DE INFORMACIÓN Y CIERRE DEL PI EN EL BANCO DE INVERSIONES A PESAR DE HABERSELE NOTIFICADO Y OTORGADO PLAZO PARA DICHO EFECTO, MEDIANTE EL OFICIO N° 000280-2025-MINEDU/VMGI-PRONIED-UGSC (31.03.2025).
AL RESPECTO MEDIANTE OFICIO N°1854-2025-GRA/GRI (18.09.2025) EL GR INFORMA QUE SE ENCUENTRA EN PROCESO DE APROBACION DE LIQUIDACION TECNICO FINANCIERA DEL PI Y DE TRANSFERENCIA DE OBRA.
--------------------------------------------------
OBRA CULMINADA (2013), RECEPCIONADA (2013) Y CUENTA CON LIQUIDACION DE OBRA APROBADA MEDIANTE R.G.G.R. N° 267-2014-GRA/GGR.
MEDIANTE OFICIO N° 00280-2025-MINEDU/VMGI-PRONIED-UGSC (31.03.2025) SE COMUNICA A LA ENTIDAD EL INCUMPLIMIENTO DE REGISTRO DE INFORMACIÓN Y CIERRE DEL PI EN EL BANCO DE INVERSIONES; ASIMISMO SE LE SOLICITA REMITIR UN INFORME DETALLADO QUE CONTENGA LA ACTUALIZACION DEL FORMATO N° 12B, DOCUMENTO QUE ACREDITE LIQUIDACION TECNICA FINANCIERA DEL PROYECTO Y DOCUMENTO QUE ACREDITE CIERRE DE PI A TRAVÉS DE FORMATO N° 09.</t>
  </si>
  <si>
    <t xml:space="preserve">SEGÚN EL INFORME N° 56-2022-GRA/GG-OSRPSS-D-INFRA-FMNP-RO-M-0016, CON FECHA 17/11/2022, SE DA A CONOCER QUE LA EJECUCIÓN DEL PROYECTO HA CULMINADO TANTO FÍSICA COMO FINANCIERAMENTE, SE ESPERA LA RECEPCIÓN DE LA OBRA, PARAR EMPEZAR CON EL PROCESO DE LIQUIDACIÓN DE LA OBRA. 
SE NOTIFICÓ MEDIANTE  CORREO ELECTRÓNICO A LA UEI CON FECHA 10/09/2025, EL OFICIO N°  1636-2025-MINEDU-VMGI-PRONIED-UGSC DONDE SE COMUNICA LA SOLICITUD DE INFORME SITUACIONAL MENSUAL SOBRE LA EJECUCIÓN DEL PROYECTO DE INVERSIÓN CON CUI N° 2176086.
</t>
  </si>
  <si>
    <t>27/05/2022 EL PROYESTO A TERMINADO DE PAGAR LA DEUDA CON EL CONTRATISTA, ESTA INICIANDO EL PROCESO DE CIERRE. LO CUAL COMENTAN QUE ESTARIA CERRADO PARA EL MES DE AGOSTO 2022</t>
  </si>
  <si>
    <t>19.12.2022 - SE HA REGISTRADO SITUACION EN F12B: "14/12/2022 HABIENDOSE COMUNICADO LA RESOLUCIÓN DE CONTRATO, LA DIRECCIÓN DE ESTUDIOS Y ASISTENCIA TÉCNICA ASUME LA CULMINACIÓN DEL EXPEDIENTE TÉCNICO, A LA FECHA SE ENCUENTRA EN UN AVANCE DEL 75%. FECHA ESTIMADA DE APROBACIÓN DEL EXPEDIENTE TÉCNICO: 15/12/2022."
SIN EMBARGO, A LA FECHA NO SE VISUALIZA UN ET REGISTRADO EN EL SISTEMA.</t>
  </si>
  <si>
    <t>- IE 974 ALTO COMUNCANCHA : RGGR N° 546-2019-GOB.REG.HVCA/GGR CON SALDO A FAVOR DEL CONTRATISTA DE S/ 44,489.90 SEGUN COMENTARIO F12B: [14/07/2022] EXISTE UN PROCESO DE ARBITRAJE CONCLUIDO MEDIANTE LAUDO ARBITRAL, LA MISMA QUE ES MATERIA DE DEMANDA DE ANULACIÓN DE LAUDO ARBITRAL POR LA ENTIDAD.</t>
  </si>
  <si>
    <t xml:space="preserve">SUSPENDIDA - ATRASADA. FUERA DE PLAZO
OBRA EJECUTADA POR ADMINISTRACIÓN DIRECTA
INICIO DE OBRA: 01/09/2022 - PLAZO: 120 DC - CULMINACIÓN CONTRACTUAL: 29/12/2022 - CULMINACIÓN REPROGRAMADA: 23/08/2023, CUENTA CON AMPLIACION DE PLAZO (1,2,3,4,5)DE 65 DC
16/10/2023 VISTA DE MONITOR, INDICA QUE OBRA SE ENCUENTRA SUSPENDIDA DESDE EL 19/09 AUN NO CUENTA CON ACTA FORMALIZADA POR EL GORE PUNO. AUN PENDIENTE REUBICAR EL POSTE ELECTRICO, ASI COMO, LOS PAGOS PENDIENTES DE VALORIZACIONES A PROVEEDORES. 
SEGUN SSI OBRA CUENTA CON UN AVANCE ACUMULADO DE 91,59% SOBRE UN PROGRAMADO DE 100%, LA OBRA SIGUE FUERA DE PLAZO  SEGUN FECHA CONTRACTUAL DEBIO CULMINAR EL 30/05/2023 SIN EMBARGO AUN NO CULMINA. ESTA FUERA DE PLAZO </t>
  </si>
  <si>
    <t>DS N° 025-2015-EF</t>
  </si>
  <si>
    <t>OBRA CULMINADA Y RECEPCIONADA 02.11.2015, CUENTA CON AMBAS LIQ, ASIMISMO CUENTA CON LA LIQUIDACION TECNICO FINANCIERA RESOLUCION DE ALCALDIA 313-2015-MDM/A DEVOLUCION DE GARANTIA S/.267,579.78 A FAVOR DEL CONTRATISTA</t>
  </si>
  <si>
    <t>02/08/2022  EN CONVERSACION CON EL INGENIERO JAIME VARGAS (JEFE DIDUR) EL PROYECTO SE ENCUENTRA CON ACTA DE RECEPCIÓN Y LOS AMBIENTE YA SE ENCUENTRAN EN USO. AUN TIENEN PENDIENTE LA ELABORACION Y PROCESO DE LIQUIDACION QUE SE ENCUENTRA EN CONSULTORIA EXTERNA.
SE NOTIFICÓ MEDIANTE  CORREO ELECTRÓNICO A LA UEI CON FECHA 09/09/2025, EL OFICIO N°  1618-2025-MINEDU-VMGI-PRONIED-UGSC DONDE SE COMUNICA LA SOLICITUD DE INFORME SITUACIONAL MENSUAL SOBRE LA EJECUCIÓN DEL PROYECTO DE INVERSIÓN CON CUI N° 2176086.</t>
  </si>
  <si>
    <t>SE ENVIO INFORME DE INCUMPLIMIENTO DE CIERRE DEL PROYECTO, LA UEI SOLICITO PLAZO PARA REMITIR INFORME SITUACIONAL Y REALIZAR CIERRE DEL PI.
OBRA PRINCIPAL: OBRA CULMINADA (2020) Y RECEPCIONADA (2021). 
SEGUN REGISTRO EN INFOBRAS CUENTA CON LIQUIDACION DE OBRA APROBADA EN EL 2021, SIN EMBARGO, ENTIDAD NO HA REMITIDO DICHA DOCUMENTACION.
ASIMISMO, SEGUN EL FORMATO N° 12-B EN EL AÑO 2022 SE EJECUTO OBRAS COMPLEMENTARIAS.
OBRAS COMPLEMENTARIAS: OBRA CULMINADA (2022), RECEPCIONADA (2022)
SEGUN REGISTRO EN INFOBRAS CUENTA CON LIQUIDACION DE OBRA APROBADA MEDIANTE RGGR N° 342-2022-GRSM/GGR, SIN EMBARGO, ENTIDAD NO HA REMITIDO DICHA DOCUMENTACION.</t>
  </si>
  <si>
    <t>OBRA CULMINADA (2017), RECEPCIONADA (2017) Y CUENTA CON LIQUIDACION DE OBRA APROBADA MEDIANTE R.G.G.R. N° 538-2023-GRA/GGR.
MEDIANTE OFICIO N° 000924-2025-MINEDU/VMGI-PRONIED-UGSC (13.06.2025) SE COMUNICA A LA ENTIDAD EL INCUMPLIMIENTO DE REGISTRO DE INFORMACIÓN Y CIERRE DEL PI EN EL BANCO DE INVERSIONES; ASIMISMO SE LE SOLICITA REMITIR UN INFORME DETALLADO QUE CONTENGA LA ACTUALIZACION DEL FORMATO N° 12B, DOCUMENTO QUE ACREDITE LIQUIDACION TECNICA FINANCIERA DEL PROYECTO Y DOCUMENTO QUE ACREDITE CIERRE DE PI A TRAVÉS DE FORMATO N° 09.</t>
  </si>
  <si>
    <t xml:space="preserve">CONVENIO NO VIGENTE
DE LO REGISTRADO POR LA UNIDAD EJECUTORA EN EL BANCO DE INVERSIONES - FORMATO 12B, INDICA QUE LA GERENCIA REGIONAL DE INFRAESTRUCTURA VIENE EVALUANDO EL CIERRE DE LA INVERSIÓN, POR CUANTO ESTE HA CAMBIADO DE CONCEPCIÓN TÉCNICA, YA QUE EL EXPEDIENTE TÉCNICO ELABORADO HA CONSIDERADO LA EJECUCIÓN DE 3 IE, CUANDO EN REALIDAD 4 IE FUERON CONCEBIDOS EN EL PERFIL DECLARADO VIABLE COMO SE SEÑALA EN EL INFORME N° 140-2025-GR.CAJ-GRI-SGE/KAR DE FECHA 05/06/2025. </t>
  </si>
  <si>
    <t xml:space="preserve">DE LO REGISTRADO POR LA UNIDAD EJECUTORA EN EL BANCO DE INVERSIONES - FORMATO 12B, INDICA QUE EL EXPEDIENTE ESTA EN REFORMULACIÓN Y ACTUALIZACIÓN DEL MISMO CON FECHA DEL 06/05/2023
</t>
  </si>
  <si>
    <t>31.08.2022 - OBRA CULMINADA (DIC 2017), RECEPCIONADA (JUN 2018), CUENTA CON LIQUIDACIÓN DE OBRA: R.SG N 016-2019-GORE-ICA/SSLP CON SALDO EN CONTRA DEL CONTRATISTA DE S/ 11,582.29 Y LIQUIDACIÓN DE SUPERVISIÓN R.S N 018-2019-GORE-ICA/SSLP. CON RS N° 005-2022-GORE-ICA/SSLP SE APRUEBA LA LIQUIDACION FINANCIERA DEL PI EN MAY 2022; SE ENCUENTRA EN PROCESO DE TRANSFERENCIA DE OBRA. Mediante Oficio N° 001268-2025-MINEDU-VMGI-PRONIED-UGSC, de fecha 25 de julio del 2025 SE COMUNICA INCUMPLIMIENTO DE REGISTRO DE INFORMACIÓN Y
CIERRE DEL PROYECTO DE INVERSIÓN CON CUI Nº 2231665, A
CARGO DEL GOBIERNO REGIONAL DE ICA.</t>
  </si>
  <si>
    <t>INICIO DE OBRA: 15/02/2017
FIN DE OBRA: 14/08/2017
SE ENVÍO EL OFICIO N° 256-2023 SOLICITANDO INFORMACIÓN SITUACIONAL DE LOS PROYECTOS DE INVERSIÓN CON CUI N° 2231667 Y CUI N° 2251149, SIN EMBARGO, HASTA LA FECHA NO SE DA RESPÚESTA, SEGÚN LA CONSULTA REALIZADA 17/08/2023 EL DOCUMENTO SE ENCUENTRA EN LA OFICINA DE LA SUBGERENCUA DE SUPERVISIÓN Y LIQUIDACIÓN DE PROYECTOS. 
SE INCUMPLE CON EL ENVIO DE LA INFORMACIÓN ACTIALIZADA DEL PROYECTO</t>
  </si>
  <si>
    <t>23.05.2022 - OBRA CULMINADA, RECEPCIONADA (FEB 2018), CUENTA CON LIQUIDACIÓN DE CONTRATO DE CONSULTORIA DE OBRA R.S N 038-2018-GORE-ICA/SSLP. 
SE ENCUENTA EN PROCESO DE LIQUIDACIÓN FINANCIERA DEL PI.</t>
  </si>
  <si>
    <t>_LIQUIDACIÓN DE OBRA_
PENDIENTE TRANSFERENCIA A LA UGEL
LIQUIDACIÓN DE OBRA: R.G.M. N° 073-2019-MDM/GM
RECEPCIONADA (DIC 2019)
 OBRA CULMINADA (2019)</t>
  </si>
  <si>
    <t xml:space="preserve">CULMINACIÓN DE OBRA
INICIO DE OBRA: 02/03/2020, PLAZO:210DC - FECHA DE CULMINACION: 29/08/2020 - FECHA  REPROGRAMADO: 06/07/2023
UEI REGISTRA EN INFOBRAS:
I) ASIENTO DE CUADERNO DE OBRA DE FECHA 31/07/2023, EN LA CUAL, EL INSPECTOR DE OBRA SOLICITA LA RECEPCIÓN DE OBRA, INDICANDO QUE EN RELACIÓN A LA MEDIA TENSIÓN, SE ENCUENTRA EN LEVANTAMIENTO DE OBSERVACIONES POR PARTE DEL PROVEEDOR Y VISTO BUENO DE ELECTRO SUR ESTE. 
II) ACTA DE ENTREGA PARCIAL DE INFRAESTRUCTURA,  MOBILIARIO Y EQUIPAMIENTO PARA USO, CON FECHA 03 DE AGOSTO DE 2023
III)INDICA QUE LA COMISIÓN DE RECEPCIÓN Y LIQUIDACIÓN DE OBRA CONCLUYE (11/10/2024) CONCLUYE QUE PROCEDERÁN CON LA LIQUIDACIÓN TÉCNICA-FINANCIERA DE LA OBRA, CONSIDERANDO LAS OBSERVACIONES RECOMENDADAS </t>
  </si>
  <si>
    <t>UEI HA REGISTRADO EN FORMATO DE SEGUIMIENTO SSI-MEF EL 05.12.2022: OBRA CULMINADA, CUENTA CON LIQUIDACIÓN. PENDIENTE TRANSFERENCIA DE INFRAESTRUCTURA Y MOBILIARIO A UGEL PIURA</t>
  </si>
  <si>
    <t xml:space="preserve"> DESDE LA UGSC CON FECHA 29/09/2025 SE NOTIFICÓ A LA UEI EL N° 001748-2025-MINEDU-VMGI-PRONIED-UGSC Y SE ADJUNTO EL INFORME N° 1396-2025-COMS MEDIANTE LOS CUALES SE SOLICITA A LA UEI EFECTÚE EL CIERRE DE PI Y REMITA UN INFORME  SOBRE  LAS ACCIONES REALIZADAS PARA EL CIERRE DEL MISMO</t>
  </si>
  <si>
    <t>OBRA CULMINADA (2019) Y RECEPCIONADA (2019). SEGUN LO REPORTADO EN INFOBRAS CUENTA CON LIQUIDACION APROBADA EL 28/01/2020, SIN EMBARGO, NO SE EVIDENCIA DOCUMENTACION SUSTENTATORIA.
MEDIANTE OFICIO N° 001621-2025-MINEDU/VMGI-PRONIED-UGSC (09.09.2025) SE COMUNICA A LA ENTIDAD EL INCUMPLIMIENTO DE REGISTRO DE INFORMACIÓN Y CIERRE DEL PI EN EL BANCO DE INVERSIONES; ASIMISMO SE LE SOLICITA REMITIR UN INFORME DETALLADO QUE CONTENGA LA ACTUALIZACION DEL FORMATO N° 12B, DOCUMENTO QUE ACREDITE LIQUIDACION TECNICA FINANCIERA DEL PROYECTO Y DOCUMENTO QUE ACREDITE CIERRE DE PI A TRAVÉS DE FORMATO N° 09.</t>
  </si>
  <si>
    <t>OBRA CULMINADA Y RECEPCIONADA EL 11.02.21, LIQUIDACIÓN DE EJECUCIÓN DE OBRA: RESOLUCION GERENCIA MUNICIPAL N°197-2021-MDH-GM, RESOLUCION SUPERVISIÓN: RESOLUCIÓN GERENCIA MUNICIPAL N° 282-2021-MDH-GM, LIQUIDACIÓN DEL COMPONENTE DE CAPACITACIÓN: GERENCIA MUNICIPAL N°221-2022-MDH-GM, LIQUIDACION DEL COMP DE MOBILIARIO: RESOLUCION GERENCIA MUNICIPAL N°247-2022-MDH-GM</t>
  </si>
  <si>
    <t>PROYECTO SE ENCUENTRA EN PROCESO DE CIERRE, SE ESPERA TENERLO PARA EL MES DE JULIO</t>
  </si>
  <si>
    <t>13/10/2022 PROYECTO LIQUIDADO YA SE ENVIÓ LOS DOCUMENTOS PARA LA TRASFERENCIA CON FECHA 20 DE AGOSTO, ESTÁN EN PROCESO DE REVISIÓN POR PARTE DE LA DIRECCIÓN DE EDUCACIÓN</t>
  </si>
  <si>
    <t>OBRA EN LIQUIDACION 
INICIO DE OBRA : 04/01/22
CULMINACION DE OBRA : 20/12/22
RECEPCION DE OBRA : 27/12/22
LIQUIDACION: N°0289-2022-MDB-A -SOLO LIQUIDACION DE SUPERVISION DEL 17/11/2023
15/08/2023_LIQUIDACION DE OBRA _ SEGUN SSI  EL EXPEDIENTE DE LIQUIDACION SE ENCUENTRA EN REVISION POR EL ORGANO DE CONTROL INSTITUCIONAL (OCI)</t>
  </si>
  <si>
    <t xml:space="preserve">INICIO OBRA EL 10.01.22. CULMINACION 29.01.23. SUSPENSION DESDE 23/01/23 HASTA 13/03/23, CULMINACION 25/06/23, RECEPCION 25/07/23, INAUGURACION 07/09/23
LIQUIDACIÓN PENDIENTE
 LA IE SE ENCUENTRA EN USO DESDE EL 07/08/23
</t>
  </si>
  <si>
    <t>(2/2) - PRESENCIA DE HUMEDAD EN MURO Y PISO DE VESTUARIO DE HOMBRES
- FALTA COLOCACION DE SUMIDERO DE VESTUARIO DE MUJERES
- FALTA COLOCACIÓN DE SELLO EN JUNTAS
- FALTA IMPLEMENTACIÓN DE MOBILIARIO EN AMBIENTES INTERIORES
- FUGA EN LAVADO DE SSHH
- ZONA DE SOCIABILIZACIÓN 01 PRESENTA DESNIVEL EN ZONA DE ADOQUINADO
- BANCAS DE MADERA INCLONCLUSAS DE ZONA DE SOCIABILIZACIÓN 02 PRESENTAN DETERIORO 
- PUERAS DE MELAMINE DESNIVELADAS EN MESADA DE TALLER
- PRESENCIA DE FISURA EN PISO DE BIBLIOTECA
- ÁREA VERDE SIN MANTENIMIENTO
- DEFICIENTE ACABADO DE MARCOS DE PUERTAS
- PARASOLES DE AMBIENTES PRESENTAN CURVATURA
- TANQUE ELEVADO SIN CULMINAR INSTALACION DE TUBERÍAS</t>
  </si>
  <si>
    <t>EL PROYECTO SE ENCUENTA EN LIQUIDACIÓN DE OBRA, EL GORE HUACAVELICA NO ENVÍA INFOMRACIÓN ACTUALIZADA REFERENTE AL PROYECTO</t>
  </si>
  <si>
    <t>OBRA CULMINADA (2019)</t>
  </si>
  <si>
    <t>DS N° 166-2015-EF</t>
  </si>
  <si>
    <t xml:space="preserve">INICIO DE OBRA 25/03/20215
FIN DE OBRA 20/11/2015
CULMINACIÓN REAL: 13 DE JUNIO DEL 2018
SE ENCUENTRAN OBSERVACIONES EN LA EJECUCIÓN DEL PROYECTO QUE EL CONTRATISTA DEBE SUBSANAR, PARA PODER REALIZAR LA LIQUIDACIÓN DE OBRA. </t>
  </si>
  <si>
    <t>DS N° 211-2015-EF</t>
  </si>
  <si>
    <t>LIQUIDACIÓN DE OBRA
SALDO DE OBRA CULMINADA Y RECEPCIONADA. EL 30.09.2020 SE CULMINÓ EL PLAZO CONTRACTUAL DE EJECUCION DEL SALDO DE OBRA. SE APRUEBA LA CONFORMACION DEL COMITE DE RECEPCION DE OBRA: RESOLUCION N°117-2020/GOBIERNO REGIONAL PIURA-GRI-DGC, LIQUIDACIÓN DE OBRA: RESOLUCIÓN OFICINA REGIONAL DE ADMINISTRACIÓN N°313-2021/GRP-ORA
AL 20.09.2023, UEI REGISTRA EN BANCO DE INVERSIONES, SALDO DE OBRA CULMINADA Y LIQUIDADA. CONTRATO DE OBRA PRINCIPAL CONTINÚA EN PROCESO DE ARBITRAJE</t>
  </si>
  <si>
    <t>RECEPCIÓN DE OBRA
OBRA CULMINADA Y RECEPCIONADA 24 DE MAYO DE 2018. INAUGURADA Y EN USO DESDE EL MES DE AGOSTO DE 2018, CUENTA CON LA RESOLUCIÓN DE ALCALDIA N° 102-2023-MDC/A DE EJECUCCIÓN DE OBRA, INDICANDO QUE NO EXISTE SALDO A FAVOR DEL CONTRATISTA.
SE NOTIFICÓ MEDIANTE  CORREO ELECTRÓNICO A LA UEI CON FECHA 10/09/2025, EL OFICIO N°  1637-2025-MINEDU-VMGI-PRONIED-UGSC DONDE SE COMUNICA LA SOLICITUD DE INFORME SITUACIONAL MENSUAL SOBRE LA EJECUCIÓN DEL PROYECTO DE INVERSIÓN CON CUI N° 2310411.</t>
  </si>
  <si>
    <t xml:space="preserve">LIQUIDACION DE OBRA  
SE HA ENVIADO REITERATIVO DOCUMENTADO A UEI PARA CIERRE DEL PROYECTO
29/11/2023 SEGUN SSI, OBRA SE ENCUENTRA CULMINADO , CUENTA CON LIQUIDACION TECNICA Y FINANCIERA,, AUN NO CIERRA EL PROYECTO EN EL SISTEMA, NO HAY RESPUESTA POR PARTE DE LA UEI </t>
  </si>
  <si>
    <t>DS 034-2020
ANEXO 2</t>
  </si>
  <si>
    <t>_PENDIENTE REGISTRO DE CIERRE F N°09_
COSTO DE EJECUCION FINAL S./ 3,705,881,66,
LIQUIDACIÓN DE CONTRATO CON RESOLUCIÓN DE ALCALDÍA n° 076-2022-MPLP DE FECHA 20 ENERO DE 2022
RECEPCION 09,03,21
TERMINO DE OBRA 01,12,2020</t>
  </si>
  <si>
    <t>OBRA CULMINADA (JUL 2018), RECEPCIONADA (AGO 2018) Y CUENTA CON LIQUIDACIÓN OBRA: R.A.N° 161-2018-MDC/A CON SALDO A FAVOR DEL CONTRATISTA DE S/ 66,188.25.</t>
  </si>
  <si>
    <t>OBRA CULMINADA, RECEPCIONADA (SET 2020) Y CUENTA CON LIQUIDACIÓN DE OBRA APROBADA MEDIANTE RESOLUCIÓN DIRECTORIAL N° 063-2022-GR.LAMB/GRIN-DSL CON UN SALDO A CARGO DEL CONTRATISTA DE S/ 761,611.53. 
SEGÚN LO REGISTRADO EN EL 12B SE ENCUENTRA EN ARBITRAJE.</t>
  </si>
  <si>
    <t xml:space="preserve">LIQUIDACIÓN DE OBRA
14.12.2023 LIQUIDACIÓN DE OBRA, EL ING. ANGEL CUBAS REPRESENTATE DE LA UEI INFORMO QUE SE ESTA REVISANDO LA DOCUEMNTACIÓN Y LOS REPORTES FINANCIEROS DEBIDO A QUE EL MONTO TOTAL DE LA INVERSIÓN CON FECHA 25/09/2023 ES S/ 3,099,227,83 (NO COINCIDE CON SU FORMATO 8)  Y LOS DEVENGADOS HASTA EL 2023 QUE SE MUESTRA EN EL BANCO DE INVERSIONES SON INCONGRUENTES.
OBRA PRINCIPAL CULMINADA Y RECEPCIONADA 12 DE NOVIEMBRE DE 2019
</t>
  </si>
  <si>
    <t xml:space="preserve">OBRA EN LIQUIDACION
CUENTA CON RESOLUCION DE LIQUIDACION DE OBRA  R.A. Nº 43 DE FECHA 04/05/2018 2018-A-MDAN  LIQUIDACION DEL AÑO 2017
 LA MUNICIPALIDAD HA EMITITDA LA LIQUIDA QUEDA PENDIENTE EL CUMPLIMIENTO DEL MISMO Y EL CIERRE DEL FORMATO 09
29/08/2023 SE   ELABORO PROYECTO DE OFICIO EN EL CUAL SE REITERA  EL ENVIO DEL ESTADO SITUCIONAL DEL PROYECTO Y SE INDICA QUE DEBE DE REALIZARSE EL PROXIMO CIERRE  </t>
  </si>
  <si>
    <t>PI DENTRO DE LA LEY DE PRESUPUESTO 2026 ANEXO 08 POR EL MONTO DE 1,047,007.00</t>
  </si>
  <si>
    <t xml:space="preserve">PENDIENTE DE FINANCIAMIENTO </t>
  </si>
  <si>
    <t xml:space="preserve"> LA UEI REMITE EL OFICIO N° 297-2025-ALCALDIA-MDO-ANT-APU (12/11/2025), EL CUAL TRASLADA EL INFORME N° 889-2025-MDO/SGOyP/ARC (10/11/2025), DONDE INDICAN QUE EN PLENO PROCESO DE LOS ACTOS PREPARATORIOS, EL ESPECIALISTA EN PROCESO DE SELECCIÓN MEDIANTE CARTA N° 001-2025-AHL-CE ADVIERTE SOBRE LA EXISTENCIA DE VICIOS OCULTOS EN LOS COSTOS DE INSUMOS DE MAYOR INCIDENCIA, POR LO TANTO, SE REALIZA Y APRUEBA LA ACTUALIZACIÓN DEL PRESUPUESTO A NIVEL DE COSTO DIRECTO TENIENDO COMO MONTO ACTUALIZADO EL TOTAL DE S/ 11,892,249.86 (AUN NO SE REFLEJA EN EL BANCO DE INVERSIONES). A LA FECHA  SE CUENTA CON EL REQUERIMIENTO DE LA EJECUCIÓN DE OBRA Y SE VIENE COMPLEMENTANDO LOS ACTOS PREPARATORIOS PARA PUBLICAR EL PROCESO DE LICITACIÓN DEL PROYECTO.
SE NOTIFICÓ MEDIANTE CORREO ELECTRÓNICO A LA MUNICIPALIDAD CON FECHA 28/11/2025, EL OFICIO N° 2289-2025-MINEDU/VMGI-PRONIED-UGSC CON ASUNTO: REMISIÓN DE INFORMACIÓN EN EL MARCO DE LAS OBLIGACIONES  A CUMPLIR POR LA ENTIDAD EN RELACIÓN AL CONVENIO SUSCRITO Y EL USO DE LOS RECURSOS GESTIONADOS POR EL MINEDU. 
</t>
  </si>
  <si>
    <t xml:space="preserve">EJECUCIÓN DE OBRA: ACTA DE ENTREGA DE TERRENO CON FECHA 05 DE ENERO DE 2026 Y ACTA DE INICIO DE PLAZO DE EJECUCIÓN DE OBRA CON FECHA 07 DE ENERO DE 2026, CON FECHA DE TÉRMINO PROGRAMADO DE OBRA EL 01 DE ENERO DE 2027.
INCORPORACIÓN DE RECURSOS, SE NOTIFICÓ MEDIANTE CORREO ELECTRÓNICO A LA MUNICIPALIDAD CON FECHA 14/10/2025, EL OFICIO N°  001888-2025-MINEDU/VMGI-PRONIED-UGSC CON ASUNTO: REMISIÓN DE INFORMACIÓN COMO PARTE DE LAS OBLIGACIONES A CUMPLIR POR LA UEI Y EL USO DE LOS RECURSOS ASIGNADOS, EN EL MARCO DEL CONVENIO ESPECÍFICO DE COOPERACIÓN INTERINSTITUCIONAL SUSCRITO ENTRE EL MINEDU Y LA MUNICIPALIDAD DISTRITAL DE CACHICADAN, EL CUAL FUE FIRMADO EL 03/10/2025.
</t>
  </si>
  <si>
    <t>PI CONSIDERADO EN EL ART 14 - LEY N° 32416. 
CON FECHA 02 OCT 2025 SE SUSCRIBIO EL CONVENIO Nº 040-2025-MINEDU.
PI CONSTA DE 3 OBRAS, CUYO ESTADO ES EL SIGUIENTE: 
- IE 968 YANACHOCCE: OBRA SUSPENDIDA (EN EJECUCION POR AI)
- IE 965 HUANCHUY: OBRA EN EJECUCION POR AI
- IE 1145 MIRAFLORES: OBRA SUSPENDIDA (EN EJECUCION POR AI)
MEDIANTE OFICIO N° 044-2026-MDCH/A (11.03.2026) LA ENTIDAD REMITE EL RESUMEN DE VALORIZACION DE FEBRERO 2026 DE LA IE 965 HUANCHUY EN LA CUAL SE EVIDENCIA QUE CUENTA CON AVANCE FÍSICO REAL DE 29.30% VS  25.91%PROGRAMADO, ENCONTRADOSE ADELANTADA.
MEDIANTE CORREO ELECTRONICO SE LE SOLICITO A LA ENTIDAD REMITA LA DOCUMENTACION CORRESPONDIENTE DE LAS IE 968 Y 1145.
MEDIANTE COMUNICACION ELECTRONICA (03.02.2025) LA ENTIDAD INFORMO LO SIGUIENTE:
- IE 968 YANACHOCCE_INICIO DE OBRA: 22.12.2025. SUSPENSION DE OBRA: 10.01.2026, POR CONDICIONES CLIMATICAS ADVERSAS
- IE 965 HUANCHUY_INICIO DE OBRA: 29.12.2025. 
- IE 1145 MIRAFLORES_INICIO DE OBRA: 22.12.2025. SUSPENSION DE OBRA: 10.01.2026, POR CONDICIONES CLIMATICAS ADVERSAS
ASIMISMO, INFORMO QUE SE CUENTA CON CONTRATO DE SUPERVISION DE OBRA SIN EMBARGO HAN TENIDO DIFICULTADES PARA PUBLICARLO EN EL SEACE.
SE VERIFICA EN EL SEACE LO SIGUIENTE:
- IE 968: FIRMA DE CONTRATO DE EJECUCIÓN DE OBRA 17 DIC 2025. CONTRATISTA: CONSORCIO EDIFICA CHINCHO. MONTO CONTRACTUAL S/ 3,981,069.44 (PLAZO DE EJECUCION 180 DIAS)
- IE 965: FIRMA DE CONTRATO DE EJECUCIÓN DE OBRA 17 DIC 2025. CONTRATISTA: CONSORCIO EDUCATIVO MIC CHAVIN. MONTO CONTRACTUAL S/ 3,199,263.31 (PLAZO DE EJECUCION 180 DIAS)
- IE 1145: FIRMA DE CONTRATO DE EJECUCIÓN DE OBRA 17 DIC 2025. CONTRATISTA: CONSORCIOKALLPA. MONTO CONTRACTUAL S/ 3,599,890.21 (PLAZO DE EJECUCION 180 DIAS)</t>
  </si>
  <si>
    <t>OBRA EN PROCESO DE SELECCION
PI CONSIDERADO EN EL ART 14 - LEY N° 32416. 
CON FECHA 09 OCT 2025 SE SUSCRIBIO EL CONVENIO Nº 052-2025-MINEDU.
SE VERIFICA EN EL SEACE QUE CONVOCATORIA PARA EJECUCION DE OBRA INICIO EL 24 NOV 2025 CON BUENA PRO PROGRAMADA PARA EL 31 DIC 2025. ASIMISMO SE VERIFICA QUE CONVOCATORIA PARA SUPERVISION DE OBRA INICIO EL 03 DIC 2025 CON BUENA PRO PROGRAMADA PARA EL 13 ENE 2026.
AL RESPECTO, MEDIANTE OFICIO N° 001881-2025-MINEDU/VMGI-PRONIED-UGSC (10.10.2025) Y OFICIO N° 002122-2025-MINEDU/VMGI-PRONIED-UGSC (07.11.2025) SE REMITE A LA ENTIDAD LAS OBLIGACIONES A CUMPLIR CON RELACIÓN AL USO DE LOS RECURSOS ASIGNADOS EN EL MARCO DEL CONVENIO ESPECÍFICO DE COOPERACIÓN INTERINSTITUCIONAL SUSCRITO ENTRE EL MINEDU Y DICHA ENTIDAD.</t>
  </si>
  <si>
    <t xml:space="preserve">
29/12/2025: EN LA PLATAFORMA SEACE SE VERIFICA QUE LA UEI HA SUSPENDIDO LA CONVOCATORIA DE LA EJECUCIÓN DE OBRA LP-SM-1-2025-CS/MDCH-1  Y LA SUPERVICIÓN CON LA CP CON-SM-1-2025-MDCH/C-1 A OTORGAR LA BUENA PRO EL 01/06/2025
26/11/2025 EN LA PLATAFORMA SEACE SE VERIFICA QUE LA UEI HA CONVOCADO LA EJECUCIÓN DE OBRA A TRAVES DE LA LP-SM-1-2025-CS/MDCH-1 (29/10/2025) Y LA SUPERVICIÓN CON LA CP CON-SM-1-2025-MDCH/C-1 (10/11/2025).</t>
  </si>
  <si>
    <t xml:space="preserve">
29/12/2025 CON FECHA 10/12/2025 LA UEI OTORGÓ LA BUENA PRO A STAR ENGINEERONG CONSORCIO PARA LA EJECUCIÓN DE OBRA POR EL MONTO DE S/ 3,107,572.39 Y LA SUPERVISIÓN SE ECNUENTRA EN INTEGRACIÓN DE BASES.
LA UNIDAD ZONAL REMITIÓ EL INFORME N° N° 136-2025-TMFL-MINEDU-VMGI-PRONIED-UZCU MEDIANTE EL CUAL INFORMA DE LA VISITA EFECTUADA EL 15,10,2025 A LAS INSTALACIONES DE LA MD Y REUNIÓN SOSTENIDA CON EL ING ELISBAN GAMARRA, SUBGERENTE DE OBRAS DE LA UEI  E INDICA QUE LA MD SE ECNUENTRA EN PROCESO DE SELECCIÓN DEL EJECUTOR Y SUPERVISOR DE LA OBRA.</t>
  </si>
  <si>
    <t>OBRA EN EJECUCION POR AI.
INICIO DE EJECUCION: 08.01.2026
CULMINACION PROGRAMADA: 04.09.2026
AVANCE FÍSICO ACUMULADO: 5.28% VS 4.16% PROGRAMADO (VAL ENE 2026)
MEDIANTE OFICIO N° 005-2026-GM-MDC (12.02.2026) LA UEI INFORMA QUE AL MES DE ENE 2026 EL AVANCE FÍSICO REAL ACUMULADO DE LA OBRA ES DE 5.28% VS 4.16% PROGRAMADO, ENCONTRANDOSE ADELANTADA SEGUN SE VERIFICA EN CURVA S ALCANZADA. 
MEDIANTE COMUNICACION ELECTRONICA LA ENTIDAD ALCANZO EL ACTA DE INICIO DE OBRA EN LA QUE SE VERIFICA QUE SE ENCUENTRA EN EJECUCIÓN DESDE EL 08 ENE 2026.
SE VERIFICA EN EL SEACE LO SIGUIENTE:
- FIRMA DE CONTRATO DE EJECUCIÓN DE OBRA 22 DIC 2025. CONTRATISTA: CONSORCIO MUNDAY. MONTO CONTRACTUAL S/ 6,151,499.94 (PLAZO DE EJECUCION 240 DIAS)
- FIRMA DE CONTRATO DE SUPERVISIÓN DE OBRA 30 DIC 2025. CONTRATISTA: CONSORCIO SUPERVISOR INGENIEROS. MONTO CONTRACTUAL S/ 310,711.13 (PLAZO DE EJECUCION 240 DIAS)
PI CONSIDERADO EN EL ART 14 - LEY N° 32416. 
CON FECHA 02 OCT 2025 SE SUSCRIBIO EL CONVENIO N° 042-2025-MINEDU.</t>
  </si>
  <si>
    <t xml:space="preserve">PI CONSIDERADO EN LA LEY 32416 , LEY DE CREDITO SUPLEMENTARIO
CONVENIO N° 037-2025-MINEDU
Ejecución de Obra: 31.10.2025, Proceso de Selección LP-SM-2-2025-MDC/C-1
Convocatoria: 31/10/2025
Adjudicado: 12/12/2025
Consentir Buena Pro Manual: 15/12/2025
Supervisión de Obra: 07.11.2025, Proceso de Selección CP-ABR-1-2025-MDC/C-1
Convocatoria: 07/11/2025
Adjudicado:16/12/2025
Consentir Buena Pro Manual:18/12/2025
MEDIANTE EXPEDIENTE I-028308-2025, SE REMITE OFICIO N°001883-2025-MINEDU-VMGI-PRONIED-UGSC DE FECHA 10.10.2025, SOLICITANDO LA REMISIÓN DE INFORMACIÓN COMO PARTE DE LAS OBLIGACIONES A CUMPLIR POR LA UEI Y EL USO DE LOS RECURSOS ASIGNADOS, EN EL MARCO DEL CONVENIO ESPECÍFICO DE COOPERACIÓN INTERINSTITUCIONAL SUSCRITO ENTRE EL MINEDU Y LA MUNICIPALIDAD DISTRITAL DE CUPI (PUNO).
EL 02/10/2025 SE SUSCRIBIO EL CONVENIO N° 037-2025-MINEDU, CONVENIO ESPECIFICO DE COOPERACION INTERINSTITUCIONAL ENTRE MINEDU Y LA MD DE CUPI..
ET APTO PARA FINANCIAMIENTO  - PROYECTO APTO EN ASITEC
MEDIANTE OFICIO N°000515-2025-MINEDU-VMGI-PRONIED-DE CON FECHA 28 DE MARZO DE 2025, LA DIRECCIÓN EJECUTIVA DE PRONIED REMITIÓ AL MINEDU, EL PROYECTO DE DECRETO SUPREMO PARA FINANCIAMIENTO DE 75 PROYECTOS DE INVERSIÓN DE INFRAESTRUCTURA EDUCATIVA DEL SECTOR EDUCACIÓN.
MEDIANTE OFICIO Nº 000143-2025-MINEDU-VMGI-PRONIED-DE DE FECHA 28 DE ENERO DE 2025, SE INFORMÓ AL MINEDU SOBRE LA NECESIDAD DE FINANCIAMIENTO DE LOS PROYECTOS DE INVERSIÓN QUE HAN CULMINADO EL PROCESO DE ASITEC, A LA FECHA SE ENCUENTRA EN PROCESO DE RECOLECCIÓN DE INFORMACIÓN PARA LA ELABORACIÓN DE PROPUESTA FINANCIERA 
PROPUESTAS PREVIAS 
OFICIO N° 376-2023-MINEDU/DM (25.07.23) - 53PI – PDS
OFICIO N° 03617-2023-MINEDU/SG (08.09.23) - 54PI – PL
OFICIO N° 1087-2024-MINEDU/SC (25/03/2024) - 66PI (30 ASITEC)-PDS
OFICIO N°2295-2024-MINEDU/DM (24/09/2024) - 61PI
CULMINACION AT: 2022
</t>
  </si>
  <si>
    <t>CON CONTRATO DE OBRA</t>
  </si>
  <si>
    <t>CON CONTRATO DE OBRA
CONVENIO N° 053-2025-MINEDU (09/10/2025), ENTRE LA MUNICIPALIDAD Y MINEDU, CON EL OBJETO DE ESTABLECER LAS CONDICIONES ADMINISTRATIVAS Y DE OPERATIVIDAD PARA LA GESTIÓN DEL FINANCIAMIENTO DEL SALDO PROGRAMABLE DEL PI 
EJECUCIÓN DE OBRA: CON CONTRATO N° 001-2026-MPPI DE FECHA 06/01/2026 
PROCESO DE SELECCIÓN DE EJECUCIÓN DE OBRA: LP-SM-1-2025-MPPI/J-1. CON BUENA PRO PROGRAMADA PARA EL 26/11/2025
ADJUDICADO EL 05/12/2025 Y EL CONSENTIMIENTO EL 19/12/2025.
SUPERVISIÓN DE OBRA: LA MUNICIPALIDAD HA CONVOCADO EL PROCESO DE SELECCIÓN DE SUPERVISIÓN DE OBRA: CP CON-SM-1-2025-MPPI/J-1. FUE DECLARADO NULO, VOLVIÉNDOSE A CONVOCAR EL 12/12/2025 CON BUENA PRO PROGRAMADA PARA EL DÍA 20/01/2026</t>
  </si>
  <si>
    <t xml:space="preserve">PI CONSIDERADO EN LA LEY 32416 , LEY DE CREDITO SUPLEMENTARIO
CONVENIO N° 058-2025-MINEDU
CONVOCATORIAS:
Ejecución de Obra: 29.10.2025, Proceso de Selección LP-ABR-3-2025-MDA/C-1
Convocatoria: 29/10/2025
Adjudicado: 13/11/2025
Otorgamiento de la Buena Pro SEACE: 13/11/2025
Supervisión de Obra: 4.11.2025, Proceso de Selección LP-ABR-3-2025-MDA/C-1
Convocatoria: 04/11/2025
Presentacion de Propuestas (electrónica): 17/11/2025
Adjudicado: 25/11/2025
Consentido: 02/12/2025
MEDIANTE EXPEDIENTE E-042541-2025, REMITE OFICIO 390-2025-MDA/A (21-12-2025), MEDIANTE EL CUAL REMITEN INFORMACION DEL EXPEDIENTE TECNICO
MEDIANTE EXPEDIENTE I-028517-2025, SE REMITE OFICIO N°001930-2025-MINEDU-VMGI-PRONIED-UGSC DE FECHA 14.10.2025, SOLICITANDO LA REMISIÓN DE INFORMACIÓN COMO PARTE DE LAS OBLIGACIONES A CUMPLIR POR LA UEI Y EL USO DE LOS RECURSOS ASIGNADOS, EN EL MARCO DEL CONVENIO ESPECÍFICO DE COOPERACIÓN INTERINSTITUCIONAL SUSCRITO ENTRE EL MINEDU Y LA MUNICIPALIDAD DISTRITAL DE ASILLO (PUNO).
EL 13/10/2025 SE SUSCRIBIO EL CONVENIO N° 058-2025-MINEDU, CONVENIO ESPECIFICO DE COOPERACION INTERINSTITUCIONAL ENTRE MINEDU Y LA MD DE ASILLO.
ET APTO PARA FINANCIAMIENTO  - PROYECTO APTO EN ASITEC
MEDIANTE OFICIO N°000515-2025-MINEDU-VMGI-PRONIED-DE CON FECHA 28 DE MARZO DE 2025, LA DIRECCIÓN EJECUTIVA DE PRONIED REMITIÓ AL MINEDU, EL PROYECTO DE DECRETO SUPREMO PARA FINANCIAMIENTO DE 75 PROYECTOS DE INVERSIÓN DE INFRAESTRUCTURA EDUCATIVA DEL SECTOR EDUCACIÓN.
MEDIANTE OFICIO Nº 000143-2025-MINEDU-VMGI-PRONIED-DE DE FECHA 28 DE ENERO DE 2025, SE INFORMÓ AL MINEDU SOBRE LA NECESIDAD DE FINANCIAMIENTO DE LOS PROYECTOS DE INVERSIÓN QUE HAN CULMINADO EL PROCESO DE ASITEC, A LA FECHA SE ENCUENTRA EN PROCESO DE RECOLECCIÓN DE INFORMACIÓN PARA LA ELABORACIÓN DE PROPUESTA FINANCIERA 
PROPUESTAS PREVIAS 
OFICIO N° 376-2023-MINEDU/DM (25.07.23) - 53PI – PDS
OFICIO N° 03617-2023-MINEDU/SG (08.09.23) - 54PI – PL
OFICIO N° 1087-2024-MINEDU/SC (25/03/2024) - 66PI (30 ASITEC)-PDS
OFICIO N°2295-2024-MINEDU/DM (24/09/2024) - 61PI
CULMINACION AT: 2022
</t>
  </si>
  <si>
    <t>OBRA SUSPENDIDA (EN EJECUCION POR AI).
INICIO DE EJECUCION: 28.01.2026
CULMINACION PROGRAMADA: 23.11.2026
AVANCE FÍSICO ACUMULADO: 0.80% VS 0.72% PROGRAMADO (VAL ENE 2026)
MEDIANTE COMUNICACION ELECTRONICA UEI ALCANZA ACTA DE SUSPENSION MEDIANTE LA CUAL SE ESTABLECE QUE OBRA SE ENCUENTRA SUSPENDIDA DESDE EL 26 FEB 2026 DEBIDO A PRECIPITACIONES QUE VIENE AFECTANDO LOS ACCESOS PARA EL TRANSPORTE DE MATERIALES.
MEDIANTE OFICIO N° 005-2026-GM-MDC (12.02.2026) LA UEI INFORMA QUE AL MES DE ENE 2026 EL AVANCE FÍSICO REAL ACUMULADO DE LA OBRA ES DE 0.80% VS 0.72% PROGRAMADO, ENCONTRANDOSE ADELANTADA SEGUN SE VERIFICA EN CURVA S ALCANZADA. 
MEDIANTE COMUNICACION ELECTRONICA LA ENTIDAD ALCANZO EL ACTA DE INICIO DE OBRA EN LA QUE SE VERIFICA QUE SE ENCUENTRA EN EJECUCIÓN DESDE EL 28 ENE 2026.
SE VERIFICA EN EL SEACE LO SIGUIENTE:
- FIRMA DE CONTRATO DE EJECUCIÓN DE OBRA 08 ENE 2026. CONTRATISTA: CONSORCIO MULLAMANDAY. MONTO CONTRACTUAL S/ 14,980,000.57 (PLAZO DE EJECUCION 300 DIAS)
- FIRMA DE CONTRATO DE SUPERVISIÓN DE OBRA 30 DIC 2025. CONTRATISTA: CONSORCIO PROJECTS. MONTO CONTRACTUAL S/ 471,870.02 (PLAZO DE EJECUCION 300 DIAS)
PI CONSIDERADO EN EL ART 14 - LEY N° 32416. 
CON FECHA 02 OCT 2025 SE SUSCRIBIO EL CONVENIO N° 042-2025-MINEDU.</t>
  </si>
  <si>
    <t xml:space="preserve">SUSPENDIDA
CONVENIO N° 049-2025-MINEDU (09/10/2025), ENTRE LA MUNICIPALIDAD Y MINEDU CON EL OBJETO DE ESTABLECER LAS CONDICIONES ADMINISTRATIVAS Y DE OPERATIVIDAD PARA LA GESTIÓN DEL FINANCIAMIENTO DEL SALDO PROGRAMABLE DEL PI 
EJECUCIÓN DE OBRA CON CONTRATO N° 006-2025-MDSMV/GM DE FECHA 19/11/2025 - SUPERVISIÓN DE OBRA CON CONTRATO DE CONSULTORÍA DE OBRA N° 002-2025-MDSMV/GM
ACTA DE INICIO DE OBRA: 04/12/2025 - 480DC
CON ACTA DE ACUERDO DE SUSPENSIÓN DE PLAZO DE OBRA N° 01, DE FECHA 26/02/2026 . LA MUNICIPALIDAD, CONTRATISTA Y SUPERVISIÓN, ACUERDAN LA SUSPENSIÓN DE LA OBRA DEBIDO A PRECIPITACIONES PLUVIALES INTENSAS 
VALORIZACIÓN CORRESPONDIENTE AL MES DE ENERO, CON UN EJECUTADO ACUMULADO DE 15,42% Y UNA PROGRAMADO  ACUMULADO DE 3,38% ENCONTRÁNDOSE ADELANTADA </t>
  </si>
  <si>
    <t>29/12/2025 CON FECHA 28/112025 LA UEI OTORGÓ LA BUENA PRO A CONSORCIO ANDINA PARA LA EJECUCIÓN DE OBRA POR EL MONTO DE S/ 7,467,154.67 Y LA SUPERVISIÓN SE ENCUNETRA EN BASES.
LA UNIDAD ZONAL REMITIÓ EL INFORME N° 135-2025-TMFL-MINEDU-VMGI-PRONIED-UZCU MEDIANTE EL CUAL INFORMA DE LA VISITA EFECTUADA EL 15,10,2025 A LAS INSTALACIONES DE LA MD Y REUNIÓN SOSTENIDA CON EL ING ELISBAN GAMARRA, SUBGERENTE DE OBRAS DE LA UEI  E INDICA QUE LA MD SE ECNUENTRA EN PROCESO DE SELECCIÓN DEL EJECUTOR Y SUPERVISOR DE LA OBRA.</t>
  </si>
  <si>
    <t>CON CONVENIO N° 041-2025-MINEDU, EN EL MARCO DEL CONVENIO ESPECÍFICO DE COOPERACIÓN INTERINSTITUCIONAL SUSCRITO ENTRE EL MINEDU Y LA MUNICIPALIDAD PROVINCIAL DE ALTO AMAZONAS, EL CUAL FUE FIRMADO EL 02/10/2025.
LA LP-ABR-11-2025-MPAA/C-1 (24/11/2025) CORRESPONDIENTE A LA CONTRATACIÓN DE LA EJECUCIÓN EL CUAL SE ENCUENTRA CONSENTIDO AL 05/12/2025 PENDIENTE DE FIRMA DE CONTRATO. MIENTRAS QUE PARA EL CP CON-SM-3-2025-MPAA/C-1 (13/10/2025) DE LA SUPERVISIÓN SE CUENTA CON CONTRATO N° 068-2025-MPAA-GM-GAyF/ULCPyA FIRMADO EL 15/12/2025.</t>
  </si>
  <si>
    <t>EN EJECUCIÓN DE OBRA
CONVENIO N° 044-2025-MINEDU (02/10/2025), ENTRE LA MUNICIPALIDAD Y MINEDU. CON E OBJETO DE ESTABLECER LAS CONDICIONES ADMINISTRATIVAS Y DE OPERATIVIDAD PARA LA GESTIÓN DEL FINANCIAMIENTO DEL SALDO PROGRAMABLE DEL PI 
INICIO DE OBRA: 24/12/2025  - CON ACTA DE SUSPENSIÓN N° 1 DESDE 24/12/2025, REINICIO DE OBRA: 02/02/2026
UEI REMITE OFICIO N° 001-2026-MDPM-A (06/01/2025), A TRAVÉS DEL CUAL, REPORTA ESTADO DEL PROYECTO Y ADJUNTA DOCUMENTACIÓN DE SUSTENTO. INDICANDO QUE CUENTA CON CONTRATO DE EJECUCIÓN DE OBRA Y HAN ENTREGADO ADELANTO DIRECTO A CONTRATISTA, EN RELACIÓN A LA SUPERVISIÓN SE ENCUENTRAN REALIZANDO EL TRAMITE PARA LA FIRMA DE CONTRATO, CONTANDO CON BUENA PRO. ADEMÁS SEÑALA ENTREGA DE TERRENO: 23/12/2024, INICIO DE OBRA: 24/12/2025 Y CON ACTA DE SUSPENSIÓN_ 24/12/2025 DEBIDO A QUE NO TIENEN DISPONIBILIDAD DE TERRENO PARA EJECUCIÓN DE PLAN DE CONTINGENCIA. 
EL 06/02/2026, EL OFICIO N° 000120-2026-MINEDU/VMGI-PRONIED-UGSC, DESDE LA UGSC SE SOLICITA INFORME SITUACIONAL MENSUAL SOBRE LA EJECUCIÓN DEL PROYECTO, EL USO DE LOS RECURSOS TRANSFERIDOS Y PRESENTACIÓN DE ESPECIALISTA A CARGO DEL MONITOREO Y SEGUIMIENTO DEL PROYECTO DE INVERSIÓN</t>
  </si>
  <si>
    <t>CON CONVENIO N° 045-2025-MINEDU, EN EL MARCO DEL CONVENIO ESPECÍFICO DE COOPERACIÓN INTERINSTITUCIONAL SUSCRITO ENTRE EL MINEDU Y LA MUNICIPALIDAD PROVINCIAL DE SAN IGNACIO, EL CUAL FUE FIRMADO EL 02/10/2025.
SEGUN EL SEACE SE INFORMA QUE LA LP-LP-SM-2-2025-MPSI/CS-1 (03/10/2025) CORRESPONDIENTE A LA CONTRATACIÓN DE LA EJECUCIÓN SE ENCUENTRA CON CONTRATO N° 44-2025-MSI-GM FIRMADO EL 24/11/2025. MIENTRAS QUE PARA EL CON-SM-1-2025-MPSI/C-1 (11/12/2025) DE LA SUPERVISIÓN SE ENCUENTRA EN PRESENTACIÓN DE PROPUESTA.</t>
  </si>
  <si>
    <t xml:space="preserve">INCORPORACIÓN DE RECURSOS, SE NOTIFICÓ MEDIANTE CORREO ELECTRÓNICO A LA MUNICIPALIDAD CON FECHA 14/10/2025, EL OFICIO N°  001888-2025-MINEDU/VMGI-PRONIED-UGSC CON ASUNTO: REMISIÓN DE INFORMACIÓN COMO PARTE DE LAS OBLIGACIONES A CUMPLIR POR LA UEI Y EL USO DE LOS RECURSOS ASIGNADOS, EN EL MARCO DEL CONVENIO ESPECÍFICO DE COOPERACIÓN INTERINSTITUCIONAL SUSCRITO ENTRE EL MINEDU Y LA MUNICIPALIDAD PROVINCIAL DE CARABAYA, EL CUAL FUE FIRMADO EL 03/10/2025.
</t>
  </si>
  <si>
    <t>PI CONSIDERADO EN EL ART 14 - LEY N° 32416. 
CON FECHA 09 OCT 2025 SE SUSCRIBIO EL CONVENIO Nº 048-2025-MINEDU.
SE VERIFICA EN EL SEACE LO SIGUIENTE:
- FIRMA DE CONTRATO DE EJECUCIÓN DE OBRA 06 ENE 2026. CONTRATISTA: CONSORCIO EDUCATIVO MIRAFLORES. MONTO CONTRACTUAL S/ 14,685,236.27 (PLAZO DE EJECUCION 360 DIAS)
- SE VERIFICA QUE OTORGAMIENTO DE BUENA PRO DE SUPERVISION DE OBRA SE ENCUENTRA PENDIENTE, SIENDO QUE ESTABA PROGRAMADA PARA EL 22 ENE 2026.</t>
  </si>
  <si>
    <t>PROYECTO APTO EN ASITEC
APROBACION ET: 11.09.2025
CULMINACION AT: 16.09.2025
ACTUALIZACION DE COSTOS: 01.09.2025 (VIGENTE HASTA 29.05.2026)
SE VERIFICA QUE PI HA RECIBIDO S/ 5,684,035.00, MEDIANTE LEY DE PRESUPUESTO 2026 (ANEXO 08), MONTO QUE EQUIVALE AL 11% DEL MONTO DEL PI.</t>
  </si>
  <si>
    <t>PROYECTO APTO EN ASITEC
APROBACION ET: 27.06.2025
CULMINACION AT: 30.06.2025
ACTUALIZACION DE COSTOS: 25.06.2025 (VIGENTE HASTA 22.03.2026)
SE VERIFICA QUE PI HA RECIBIDO S/ 5,684,035.00, MEDIANTE LEY DE PRESUPUESTO 2026 (ANEXO 08), MONTO QUE EQUIVALE AL 13% DEL MONTO DEL PI.</t>
  </si>
  <si>
    <t>PROYECTO APTO EN ASITEC
APROBACION ET: 20.12.2022
CULMINACION AT: 08.02.2023
ACTUALIZACION DE COSTOS: 13.01.2026 (VIGENTE HASTA 10.10.2026)
SE VERIFICA QUE PI HA RECIBIDO S/ 2,726,142.00, MEDIANTE LEY DE PRESUPUESTO 2026 (ANEXO 08), MONTO QUE EQUIVALE AL 13% DEL MONTO DEL PI.</t>
  </si>
  <si>
    <t>PROYECTO APTO EN ASITEC
APROBACION ET: 21.05.2022
CULMINACION AT: 27.07.2022
ACTUALIZACION DE COSTOS: 21.02.2025 (VIGENTE HASTA 18.11.2025)
SE VERIFICA QUE PI HA RECIBIDO S/ 4,000,000.00, MEDIANTE LEY DE PRESUPUESTO 2026 (ANEXO 08), MONTO QUE EQUIVALE AL 19% DEL MONTO DEL PI.</t>
  </si>
  <si>
    <t>PI CON PIM 2026 DE S/. 736,597.00, PROYECTO EN EJECUCIÓN, PENDIENTE DE REMITIR EL INFORME DE ESTADO SITUACIONAL, ACTA DE INICIO DE OBRA, ENTREGA DE TERRENO Y VALORIZACIÓN.</t>
  </si>
  <si>
    <t>ET APTO PARA FINANCIAMIENTO  - PROYECTO APTO EN ASITEC
PROYECTO CONSIDERADO EN EL ANEXO 05, DE LA LEY DE PPTO 2026. PIM 2026: S/ 9,769,594.00</t>
  </si>
  <si>
    <t>PI CONTEMPLADO EN CONVENIO N° 270-2017-MINEDU QUE ESTABLECIA TRANSFERENCIA DE RECURSOS PARA ELABORACION DE RECURSOS (S/ 167,326.00).
SE VERIFICA EN EL BANCO DE INVERSIONES QUE PI NO CUENTA CON EXPEDIENTE TECNICO APROBADO Y, SEGUN EL FORMATO N° 12-B, SE HA PROPUESTO UNA MODIFICACIÓN PRESUPUESTAL PARA SER HABILITADOR POR EL MONTO DE S/ 2,000,000.00 CONSIDERANDO QUE LA ENTIDAD SE PROYECTA QUE CULMINARA CON LA ELABORACION DEL ET EN OCTUBRE 2026.</t>
  </si>
  <si>
    <t>OBRA PARALIZADA DESDE EL 2016 POR FALTA DE RECURSOS. 
AVANCE OBRA PRINCIPAL: 67.93% 
EL COSTO DEL PI, AL MOMENTO DEL CONVENIO N° 413-2014-MINEDU (VIGENTE HASTA EL 2015), FUE FINANCIADO EN SU TOTALIDAD.
SE VERIFICA EN EL BANCO DE INVERSIONES QUE PI CUENTA CON EXPEDIENTE TECNICO DE SALDO APROBADO MEDIANTE R.A. N° 296-2025-A/MDRT (30.06.2025) POR EL MONTO DE S/ 5,132,623.79. ASIMISMO, SE VERIFICA QUE PI CUENTA CON UN PIM DE S/ 3,000,000.00, MONTO INSUFICIENTE PARA CUBRIR TOTALIDAD DE MONTO DE SALDO DE OBRA.
SE DEBE MENCIONAR QUE LA UGSC NO CUENTA CON MARCO LEGAL O CONVENIO VIGENTE PARA PRONUNCIARSE SOBRE ALGUN PEDIDO DE FINANCIAMIENTO SOLICITADO POR LA MUNICIPALIDAD DISTRITAL DE RÍO TAMBO, POR CUANTO SE TRATA DE UN EXPEDIENTE TÉCNICO DE SALDO DE OBRA QUE NO CUENTA CON LA VALIDACIÓN TÉCNICA DEL SECTOR.</t>
  </si>
  <si>
    <t xml:space="preserve">PI CON CONVENIO N° 079-2015-MINEDU, A TRAVÉS DEL CUAL SE FINANCIÓ LA ELABORACIÓN DEL ET  A LA MP MORROPON. EL MINEDU NO PROCEDIÓ CON LA ASIGNACIÓN DEL SALDO DE RECURSOS, PARA EJECUCIÓN DE OBRA DEBIDO A QUE LA UEI INCUMPLIO LOS PLAZOS ESTABLECIDOS EN EL CONVENIO.
SE VERIFICA QUE LA MD YAMANGO FIGURA COMO UNIDAD EJECUTORA DEL PROYECTO Y ESTUVO EN REVISION POR PARTE DE ASITEC EN LAS CONVOCATORIAS 2019-I, 2019-II, 2023-I Y 2024-I, ENCONTRÁNDOSE NO APTO EN ESPECIALIDADES.
SE VERIFICA QUE OBRA SE ENCUENTRA EN EJECUCION DESDE EL 26 MAY 2025 Y QUE AL MES DE ENE 2026 EL AVANCE FÍSICO REAL ACUMULADO DE LA OBRA ES DE 67.31% VS 67.24% PROGRAMADO. </t>
  </si>
  <si>
    <t>PI CONTEMPLADO EN CONVENIO N° 321-2017-MINEDU QUE ESTABLECIA TRANSFERENCIA DE RECURSOS PARA ELABORACION DE RECURSOS (S/ 112,248.00).
SE VERIFICA EN EL BANCO DE INVERSIONES QUE PI NO CUENTA CON EXPEDIENTE TECNICO APROBADO Y QUE INGRESÓ PARA REVISIÓN DE ASITEC EN LAS CONVOCATORIAS 2019-II, 2022-II Y 2023-II ENCONTRÁNDOSE EN REVISIÓN.
SEGUN LO REGISTRADO EN EL FORMATO N° 12-B (03.02.2026), "EL EXPEDIENTE TECNICO SE ENCUENTRA EN PROCESO DE REFORMULACIÓN A CARGO DE LA SUB GERENCIA DE ESTUDIOS Y PROYECTOS".</t>
  </si>
  <si>
    <t>ET APTO PARA FINANCIAMIENTO  - PROYECTO APTO EN ASITEC
PROYECTO CONSIDERADO EN EL ANEXO 05, DE LA LEY DE PPTO 2026. PIM 2026: S/ 5,681,496.00
MEDIANTE CORREO ELECTRÓNICO, EL 14 DE ENERO, SE SOLICITÓ A LA MUNICIPALIDAD CRONOGRAMA DE EJECUCIÓN FINANCIERA Y DE HITOS, A FIN QUE SE REALICE UNA PROPUESTA DE TRANSFERENCIA DE RECURSOS A FAVOR DEL PROYECTO AL ENCONTRARSE EL PROYECTO EN EL ANEXO 05 DE LA LEY N° 32153</t>
  </si>
  <si>
    <t>DS 336-2025-EF con un monto de S/ 6.895.037,00 en el año 2025, por la ley de presupuesto del 2026 (S/ 90.079,00) DEVENGADO ACUMULADO AL 2025 de S/12,957,994.01 
PROPUESTAS PRESENTADAS
OFICIO Nº 748-2022-MINEDU/SPE-OPEP (15.11.2022) - 29 PI – PDS
OFICIO N° 103-2023-MINEDU/DM (17.02.2023)-123PI(44 ASITEC)-PL
OFICIO N° 376-2023-MINEDU/DM (25.07.23) - 53PI - PDS
OFICIO N° 03617-2023-MINEDU/SG (08.09.23) - 54PI - PL
OFICIO N° 1087-2024-MINEDU/SC (25/03/2024)-66PI (30 ASITEC)-PDS</t>
  </si>
  <si>
    <t>2023 - 1</t>
  </si>
  <si>
    <t>2024 - 1</t>
  </si>
  <si>
    <t>EN ASISTENCIA TÉCNICA</t>
  </si>
  <si>
    <t>ESTUDIOS BÁSICOS</t>
  </si>
  <si>
    <t>NO APLICA</t>
  </si>
  <si>
    <t>NO APLICA (EXPEDIENTE EN ELABORACIÓN)</t>
  </si>
  <si>
    <t>COSTOS</t>
  </si>
  <si>
    <t>2023 - 2</t>
  </si>
  <si>
    <t>ESPECIALIDADES</t>
  </si>
  <si>
    <t>2022 - 3</t>
  </si>
  <si>
    <t>2021 - 2</t>
  </si>
  <si>
    <t>2022 - 2</t>
  </si>
  <si>
    <t>2022 - 1</t>
  </si>
  <si>
    <t>2021 - 1</t>
  </si>
  <si>
    <t>2021 - 3</t>
  </si>
  <si>
    <t>2020 - 3</t>
  </si>
  <si>
    <t>2020 - 1</t>
  </si>
  <si>
    <t>2019 - 2</t>
  </si>
  <si>
    <t>2019 - 1</t>
  </si>
  <si>
    <t>2020 - 2</t>
  </si>
  <si>
    <t>2025 - 1</t>
  </si>
  <si>
    <t>EN ASESORÍA TÉCNICA</t>
  </si>
  <si>
    <t>ESTUDIOS BÁSICOS Y ANTEPROYECTO DEL PLAN DE CONTINGENCIA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</si>
</sst>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_ &quot;S/&quot;\ * #,##0.00_ ;_ &quot;S/&quot;\ * \-#,##0.00_ ;_ &quot;S/&quot;\ * &quot;-&quot;??_ ;_ @_ "/>
    <numFmt numFmtId="166" formatCode="0;\-0;&quot;-&quot;"/>
    <numFmt numFmtId="167" formatCode="&quot;S/&quot;\ #,##0.00"/>
  </numFmts>
  <fonts count="5" x14ac:knownFonts="1">
    <font>
      <sz val="11"/>
      <color theme="1"/>
      <name val="Calibri"/>
      <family val="2"/>
      <scheme val="minor"/>
    </font>
    <font>
      <sz val="10"/>
      <color theme="1"/>
      <name val="Arial"/>
      <family val="2"/>
    </font>
    <font>
      <sz val="10"/>
      <color theme="1"/>
      <name val="Arial"/>
      <family val="2"/>
    </font>
    <font>
      <b/>
      <sz val="12"/>
      <color theme="1"/>
      <name val="Arial"/>
      <family val="2"/>
    </font>
    <font>
      <sz val="11"/>
      <color rgb="FF000000"/>
      <name val="Calibri"/>
      <family val="2"/>
    </font>
  </fonts>
  <fills count="5">
    <fill>
      <patternFill patternType="none"/>
    </fill>
    <fill>
      <patternFill patternType="gray125"/>
    </fill>
    <fill>
      <patternFill patternType="solid">
        <fgColor theme="0" tint="-0.14999847407452621"/>
        <bgColor indexed="64"/>
      </patternFill>
    </fill>
    <fill>
      <patternFill patternType="solid">
        <fgColor theme="0"/>
        <bgColor rgb="FFD8D8D8"/>
      </patternFill>
    </fill>
    <fill>
      <patternFill patternType="solid">
        <fgColor theme="0"/>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44">
    <xf numFmtId="0" fontId="0" fillId="0" borderId="0" xfId="0"/>
    <xf numFmtId="0" fontId="2" fillId="0" borderId="0" xfId="0" applyFont="1" applyAlignment="1">
      <alignment vertical="center"/>
    </xf>
    <xf numFmtId="0" fontId="2" fillId="0" borderId="0" xfId="0" applyFont="1" applyAlignment="1">
      <alignment horizontal="center" vertical="center"/>
    </xf>
    <xf numFmtId="4" fontId="2" fillId="0" borderId="0" xfId="0" applyNumberFormat="1" applyFont="1" applyAlignment="1">
      <alignment vertical="center"/>
    </xf>
    <xf numFmtId="4" fontId="1" fillId="2" borderId="1" xfId="0" applyNumberFormat="1" applyFont="1" applyFill="1" applyBorder="1" applyAlignment="1">
      <alignment horizontal="center" vertical="center" wrapText="1"/>
    </xf>
    <xf numFmtId="0" fontId="2" fillId="0" borderId="0" xfId="0" applyFont="1" applyAlignment="1">
      <alignment horizontal="left" vertical="center"/>
    </xf>
    <xf numFmtId="14" fontId="2" fillId="0" borderId="0" xfId="0" applyNumberFormat="1" applyFont="1" applyAlignment="1">
      <alignment vertical="center"/>
    </xf>
    <xf numFmtId="164" fontId="2" fillId="0" borderId="0" xfId="0" applyNumberFormat="1" applyFont="1" applyAlignment="1">
      <alignment horizontal="right" vertical="center"/>
    </xf>
    <xf numFmtId="0" fontId="1" fillId="2" borderId="1" xfId="0" applyFont="1" applyFill="1" applyBorder="1" applyAlignment="1">
      <alignment horizontal="center" vertical="center" wrapText="1"/>
    </xf>
    <xf numFmtId="3" fontId="2" fillId="0" borderId="0" xfId="0" applyNumberFormat="1" applyFont="1" applyAlignment="1">
      <alignment horizontal="right" vertical="center"/>
    </xf>
    <xf numFmtId="164" fontId="1" fillId="2" borderId="1" xfId="0" applyNumberFormat="1" applyFont="1" applyFill="1" applyBorder="1" applyAlignment="1">
      <alignment horizontal="center" vertical="center" wrapText="1"/>
    </xf>
    <xf numFmtId="4" fontId="2" fillId="0" borderId="0" xfId="0" applyNumberFormat="1" applyFont="1" applyAlignment="1">
      <alignment horizontal="left" vertical="center"/>
    </xf>
    <xf numFmtId="0" fontId="1" fillId="0" borderId="0" xfId="0" applyFont="1" applyAlignment="1">
      <alignment vertical="center"/>
    </xf>
    <xf numFmtId="0" fontId="1" fillId="0" borderId="0" xfId="0" applyFont="1" applyAlignment="1">
      <alignment horizontal="center" vertical="center"/>
    </xf>
    <xf numFmtId="4" fontId="1" fillId="0" borderId="0" xfId="0" applyNumberFormat="1" applyFont="1" applyAlignment="1">
      <alignment horizontal="center" vertical="center"/>
    </xf>
    <xf numFmtId="0" fontId="1" fillId="0" borderId="0" xfId="0" applyFont="1" applyAlignment="1">
      <alignment horizontal="left" vertical="center"/>
    </xf>
    <xf numFmtId="14" fontId="1" fillId="0" borderId="0" xfId="0" applyNumberFormat="1" applyFont="1" applyAlignment="1">
      <alignment horizontal="center" vertical="center"/>
    </xf>
    <xf numFmtId="3" fontId="1" fillId="2" borderId="1" xfId="0" applyNumberFormat="1" applyFont="1" applyFill="1" applyBorder="1" applyAlignment="1">
      <alignment horizontal="center" vertical="center" wrapText="1"/>
    </xf>
    <xf numFmtId="14" fontId="1" fillId="2" borderId="1" xfId="0" applyNumberFormat="1" applyFont="1" applyFill="1" applyBorder="1" applyAlignment="1">
      <alignment horizontal="center" vertical="center" wrapText="1"/>
    </xf>
    <xf numFmtId="0" fontId="1" fillId="0" borderId="1" xfId="0" applyFont="1" applyBorder="1" applyAlignment="1">
      <alignment horizontal="center" vertical="center"/>
    </xf>
    <xf numFmtId="14" fontId="1" fillId="0" borderId="1" xfId="0" applyNumberFormat="1" applyFont="1" applyBorder="1" applyAlignment="1">
      <alignment horizontal="center" vertical="center"/>
    </xf>
    <xf numFmtId="0" fontId="1" fillId="0" borderId="1" xfId="0" applyFont="1" applyBorder="1" applyAlignment="1">
      <alignment vertical="center"/>
    </xf>
    <xf numFmtId="165" fontId="1" fillId="3" borderId="1" xfId="0" applyNumberFormat="1" applyFont="1" applyFill="1" applyBorder="1" applyAlignment="1">
      <alignment horizontal="center" vertical="center" wrapText="1"/>
    </xf>
    <xf numFmtId="0" fontId="1" fillId="0" borderId="1" xfId="0" applyFont="1" applyBorder="1" applyAlignment="1">
      <alignment horizontal="center" vertical="center" wrapText="1"/>
    </xf>
    <xf numFmtId="0" fontId="2" fillId="0" borderId="0" xfId="0" applyFont="1" applyAlignment="1">
      <alignment vertical="center" wrapText="1"/>
    </xf>
    <xf numFmtId="166" fontId="1" fillId="0" borderId="1" xfId="0" applyNumberFormat="1" applyFont="1" applyBorder="1" applyAlignment="1">
      <alignment horizontal="center" vertical="center" wrapText="1"/>
    </xf>
    <xf numFmtId="166" fontId="1" fillId="0" borderId="1" xfId="0" applyNumberFormat="1" applyFont="1" applyBorder="1" applyAlignment="1">
      <alignment vertical="center" wrapText="1"/>
    </xf>
    <xf numFmtId="0" fontId="1" fillId="2" borderId="5" xfId="0" applyFont="1" applyFill="1" applyBorder="1" applyAlignment="1">
      <alignment horizontal="center" vertical="center" wrapText="1"/>
    </xf>
    <xf numFmtId="0" fontId="1" fillId="2" borderId="6" xfId="0" applyFont="1" applyFill="1" applyBorder="1" applyAlignment="1">
      <alignment horizontal="center" vertical="center" wrapText="1"/>
    </xf>
    <xf numFmtId="0" fontId="1" fillId="2" borderId="7" xfId="0" applyFont="1" applyFill="1" applyBorder="1" applyAlignment="1">
      <alignment horizontal="center" vertical="center" wrapText="1"/>
    </xf>
    <xf numFmtId="0" fontId="1" fillId="0" borderId="1" xfId="0" applyFont="1" applyBorder="1" applyAlignment="1">
      <alignment vertical="center" wrapText="1"/>
    </xf>
    <xf numFmtId="164" fontId="1" fillId="0" borderId="0" xfId="0" applyNumberFormat="1" applyFont="1" applyAlignment="1">
      <alignment horizontal="right" vertical="center"/>
    </xf>
    <xf numFmtId="0" fontId="1" fillId="0" borderId="5" xfId="0" applyFont="1" applyBorder="1" applyAlignment="1">
      <alignment horizontal="center" vertical="center"/>
    </xf>
    <xf numFmtId="0" fontId="4" fillId="4" borderId="1" xfId="0" applyFont="1" applyFill="1" applyBorder="1" applyAlignment="1">
      <alignment horizontal="center" vertical="center"/>
    </xf>
    <xf numFmtId="167" fontId="4" fillId="4" borderId="1" xfId="0" applyNumberFormat="1" applyFont="1" applyFill="1" applyBorder="1" applyAlignment="1">
      <alignment horizontal="center"/>
    </xf>
    <xf numFmtId="0" fontId="4" fillId="0" borderId="1" xfId="0" applyFont="1" applyBorder="1" applyAlignment="1">
      <alignment horizontal="center"/>
    </xf>
    <xf numFmtId="0" fontId="4" fillId="4" borderId="1" xfId="0" applyFont="1" applyFill="1" applyBorder="1" applyAlignment="1">
      <alignment horizontal="center"/>
    </xf>
    <xf numFmtId="167" fontId="4" fillId="4" borderId="1" xfId="0" applyNumberFormat="1" applyFont="1" applyFill="1" applyBorder="1" applyAlignment="1">
      <alignment horizontal="center" vertical="center"/>
    </xf>
    <xf numFmtId="0" fontId="3" fillId="2" borderId="2" xfId="0" applyFont="1" applyFill="1" applyBorder="1" applyAlignment="1">
      <alignment horizontal="center" vertical="center" wrapText="1"/>
    </xf>
    <xf numFmtId="0" fontId="3" fillId="2" borderId="3" xfId="0" applyFont="1" applyFill="1" applyBorder="1" applyAlignment="1">
      <alignment horizontal="center" vertical="center" wrapText="1"/>
    </xf>
    <xf numFmtId="0" fontId="3" fillId="2" borderId="4" xfId="0" applyFont="1" applyFill="1" applyBorder="1" applyAlignment="1">
      <alignment horizontal="center" vertical="center" wrapText="1"/>
    </xf>
    <xf numFmtId="0" fontId="3" fillId="2" borderId="2" xfId="0" applyFont="1" applyFill="1" applyBorder="1" applyAlignment="1">
      <alignment horizontal="center" vertical="center"/>
    </xf>
    <xf numFmtId="0" fontId="3" fillId="2" borderId="3" xfId="0" applyFont="1" applyFill="1" applyBorder="1" applyAlignment="1">
      <alignment horizontal="center" vertical="center"/>
    </xf>
    <xf numFmtId="0" fontId="3" fillId="2" borderId="4" xfId="0" applyFont="1" applyFill="1" applyBorder="1" applyAlignment="1">
      <alignment horizontal="center" vertical="center"/>
    </xf>
  </cellXfs>
  <cellStyles count="1">
    <cellStyle name="Normal" xfId="0" builtinId="0"/>
  </cellStyles>
  <dxfs count="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421"/>
  <sheetViews>
    <sheetView tabSelected="1" zoomScale="70" zoomScaleNormal="70" workbookViewId="0">
      <selection activeCell="A3" sqref="A3:XFD3"/>
    </sheetView>
  </sheetViews>
  <sheetFormatPr baseColWidth="10" defaultColWidth="9.140625" defaultRowHeight="12.75" x14ac:dyDescent="0.25"/>
  <cols>
    <col min="1" max="1" width="7.42578125" style="1" bestFit="1" customWidth="1"/>
    <col min="2" max="2" width="10.7109375" style="1" customWidth="1"/>
    <col min="3" max="3" width="15.7109375" style="1" customWidth="1"/>
    <col min="4" max="5" width="10.7109375" style="3" customWidth="1"/>
    <col min="6" max="6" width="20.5703125" style="3" customWidth="1"/>
    <col min="7" max="8" width="35.7109375" style="5" customWidth="1"/>
    <col min="9" max="9" width="15.7109375" style="6" customWidth="1"/>
    <col min="10" max="10" width="43.85546875" style="6" customWidth="1"/>
    <col min="11" max="11" width="29.42578125" style="1" customWidth="1"/>
    <col min="12" max="16384" width="9.140625" style="1"/>
  </cols>
  <sheetData>
    <row r="1" spans="1:11" ht="30" customHeight="1" thickBot="1" x14ac:dyDescent="0.3">
      <c r="A1" s="41" t="s">
        <v>0</v>
      </c>
      <c r="B1" s="42"/>
      <c r="C1" s="42"/>
      <c r="D1" s="42"/>
      <c r="E1" s="42"/>
      <c r="F1" s="42"/>
      <c r="G1" s="42"/>
      <c r="H1" s="42"/>
      <c r="I1" s="42"/>
      <c r="J1" s="42"/>
      <c r="K1" s="43"/>
    </row>
    <row r="2" spans="1:11" x14ac:dyDescent="0.25">
      <c r="A2" s="12"/>
      <c r="B2" s="13"/>
      <c r="C2" s="13"/>
      <c r="D2" s="14"/>
      <c r="E2" s="14"/>
      <c r="F2" s="14"/>
      <c r="G2" s="15"/>
      <c r="H2" s="15"/>
      <c r="I2" s="16"/>
      <c r="J2" s="16"/>
      <c r="K2" s="12"/>
    </row>
    <row r="3" spans="1:11" s="2" customFormat="1" ht="63.75" x14ac:dyDescent="0.25">
      <c r="A3" s="8" t="s">
        <v>1</v>
      </c>
      <c r="B3" s="8" t="s">
        <v>2</v>
      </c>
      <c r="C3" s="8" t="s">
        <v>3</v>
      </c>
      <c r="D3" s="4" t="s">
        <v>4</v>
      </c>
      <c r="E3" s="4" t="s">
        <v>5</v>
      </c>
      <c r="F3" s="4" t="s">
        <v>6</v>
      </c>
      <c r="G3" s="8" t="s">
        <v>7</v>
      </c>
      <c r="H3" s="17" t="s">
        <v>8</v>
      </c>
      <c r="I3" s="18" t="s">
        <v>9</v>
      </c>
      <c r="J3" s="18" t="s">
        <v>10</v>
      </c>
      <c r="K3" s="8" t="s">
        <v>11</v>
      </c>
    </row>
    <row r="4" spans="1:11" ht="15" x14ac:dyDescent="0.25">
      <c r="A4" s="32">
        <v>1</v>
      </c>
      <c r="B4" s="33">
        <v>2338664</v>
      </c>
      <c r="C4" s="33">
        <v>1</v>
      </c>
      <c r="D4" s="33" t="s">
        <v>425</v>
      </c>
      <c r="E4" s="33" t="s">
        <v>426</v>
      </c>
      <c r="F4" s="34">
        <v>6327222.3399999999</v>
      </c>
      <c r="G4" s="19" t="s">
        <v>427</v>
      </c>
      <c r="H4" s="19" t="s">
        <v>428</v>
      </c>
      <c r="I4" s="20" t="s">
        <v>429</v>
      </c>
      <c r="J4" s="20" t="s">
        <v>430</v>
      </c>
      <c r="K4" s="21"/>
    </row>
    <row r="5" spans="1:11" ht="15" x14ac:dyDescent="0.25">
      <c r="A5" s="32">
        <v>2</v>
      </c>
      <c r="B5" s="33">
        <v>2310358</v>
      </c>
      <c r="C5" s="33">
        <v>1</v>
      </c>
      <c r="D5" s="33" t="s">
        <v>425</v>
      </c>
      <c r="E5" s="33" t="s">
        <v>426</v>
      </c>
      <c r="F5" s="34">
        <v>19549451.82</v>
      </c>
      <c r="G5" s="19" t="s">
        <v>427</v>
      </c>
      <c r="H5" s="35" t="s">
        <v>431</v>
      </c>
      <c r="I5" s="20" t="s">
        <v>429</v>
      </c>
      <c r="J5" s="20" t="s">
        <v>430</v>
      </c>
      <c r="K5" s="21"/>
    </row>
    <row r="6" spans="1:11" ht="15" x14ac:dyDescent="0.25">
      <c r="A6" s="32">
        <v>3</v>
      </c>
      <c r="B6" s="33">
        <v>2470867</v>
      </c>
      <c r="C6" s="33">
        <v>5</v>
      </c>
      <c r="D6" s="33" t="s">
        <v>425</v>
      </c>
      <c r="E6" s="33" t="s">
        <v>426</v>
      </c>
      <c r="F6" s="34">
        <v>9208889.6600000001</v>
      </c>
      <c r="G6" s="19" t="s">
        <v>427</v>
      </c>
      <c r="H6" s="19" t="s">
        <v>428</v>
      </c>
      <c r="I6" s="20" t="s">
        <v>429</v>
      </c>
      <c r="J6" s="20" t="s">
        <v>430</v>
      </c>
      <c r="K6" s="21"/>
    </row>
    <row r="7" spans="1:11" ht="15" x14ac:dyDescent="0.25">
      <c r="A7" s="32">
        <v>4</v>
      </c>
      <c r="B7" s="33">
        <v>2334303</v>
      </c>
      <c r="C7" s="33">
        <v>1</v>
      </c>
      <c r="D7" s="33" t="s">
        <v>425</v>
      </c>
      <c r="E7" s="33" t="s">
        <v>426</v>
      </c>
      <c r="F7" s="34">
        <v>7072302.8499999996</v>
      </c>
      <c r="G7" s="19" t="s">
        <v>427</v>
      </c>
      <c r="H7" s="19" t="s">
        <v>428</v>
      </c>
      <c r="I7" s="20" t="s">
        <v>429</v>
      </c>
      <c r="J7" s="20" t="s">
        <v>430</v>
      </c>
      <c r="K7" s="21"/>
    </row>
    <row r="8" spans="1:11" ht="15" x14ac:dyDescent="0.25">
      <c r="A8" s="19">
        <v>5</v>
      </c>
      <c r="B8" s="33">
        <v>2387118</v>
      </c>
      <c r="C8" s="33">
        <v>1</v>
      </c>
      <c r="D8" s="33" t="s">
        <v>425</v>
      </c>
      <c r="E8" s="33" t="s">
        <v>426</v>
      </c>
      <c r="F8" s="34">
        <v>28628890.699999999</v>
      </c>
      <c r="G8" s="19" t="s">
        <v>427</v>
      </c>
      <c r="H8" s="19" t="s">
        <v>428</v>
      </c>
      <c r="I8" s="20" t="s">
        <v>429</v>
      </c>
      <c r="J8" s="20" t="s">
        <v>430</v>
      </c>
      <c r="K8" s="21"/>
    </row>
    <row r="9" spans="1:11" ht="15" x14ac:dyDescent="0.25">
      <c r="A9" s="19">
        <v>6</v>
      </c>
      <c r="B9" s="33">
        <v>2293441</v>
      </c>
      <c r="C9" s="33">
        <v>1</v>
      </c>
      <c r="D9" s="33" t="s">
        <v>432</v>
      </c>
      <c r="E9" s="33" t="s">
        <v>432</v>
      </c>
      <c r="F9" s="34">
        <v>8606762.7599999998</v>
      </c>
      <c r="G9" s="19" t="s">
        <v>427</v>
      </c>
      <c r="H9" s="19" t="s">
        <v>428</v>
      </c>
      <c r="I9" s="20" t="s">
        <v>429</v>
      </c>
      <c r="J9" s="20" t="s">
        <v>430</v>
      </c>
      <c r="K9" s="21"/>
    </row>
    <row r="10" spans="1:11" ht="15" x14ac:dyDescent="0.25">
      <c r="A10" s="19">
        <v>7</v>
      </c>
      <c r="B10" s="33">
        <v>2516226</v>
      </c>
      <c r="C10" s="33">
        <v>1</v>
      </c>
      <c r="D10" s="33" t="s">
        <v>432</v>
      </c>
      <c r="E10" s="33" t="s">
        <v>432</v>
      </c>
      <c r="F10" s="34">
        <v>12824796.59</v>
      </c>
      <c r="G10" s="19" t="s">
        <v>427</v>
      </c>
      <c r="H10" s="35" t="s">
        <v>433</v>
      </c>
      <c r="I10" s="20" t="s">
        <v>429</v>
      </c>
      <c r="J10" s="20" t="s">
        <v>430</v>
      </c>
      <c r="K10" s="21"/>
    </row>
    <row r="11" spans="1:11" ht="15" x14ac:dyDescent="0.25">
      <c r="A11" s="19">
        <v>8</v>
      </c>
      <c r="B11" s="33">
        <v>2473935</v>
      </c>
      <c r="C11" s="36">
        <v>1</v>
      </c>
      <c r="D11" s="33" t="s">
        <v>432</v>
      </c>
      <c r="E11" s="33" t="s">
        <v>432</v>
      </c>
      <c r="F11" s="34">
        <v>68354226.890000001</v>
      </c>
      <c r="G11" s="19" t="s">
        <v>427</v>
      </c>
      <c r="H11" s="19" t="s">
        <v>428</v>
      </c>
      <c r="I11" s="20" t="s">
        <v>429</v>
      </c>
      <c r="J11" s="20" t="s">
        <v>430</v>
      </c>
      <c r="K11" s="21"/>
    </row>
    <row r="12" spans="1:11" ht="15" x14ac:dyDescent="0.25">
      <c r="A12" s="19">
        <v>9</v>
      </c>
      <c r="B12" s="33">
        <v>2458046</v>
      </c>
      <c r="C12" s="36">
        <v>1</v>
      </c>
      <c r="D12" s="33" t="s">
        <v>432</v>
      </c>
      <c r="E12" s="33" t="s">
        <v>432</v>
      </c>
      <c r="F12" s="34">
        <v>6560241.4299999997</v>
      </c>
      <c r="G12" s="19" t="s">
        <v>427</v>
      </c>
      <c r="H12" s="19" t="s">
        <v>428</v>
      </c>
      <c r="I12" s="20" t="s">
        <v>429</v>
      </c>
      <c r="J12" s="20" t="s">
        <v>430</v>
      </c>
      <c r="K12" s="21"/>
    </row>
    <row r="13" spans="1:11" ht="15" x14ac:dyDescent="0.25">
      <c r="A13" s="32">
        <v>10</v>
      </c>
      <c r="B13" s="33">
        <v>2455240</v>
      </c>
      <c r="C13" s="36">
        <v>1</v>
      </c>
      <c r="D13" s="33" t="s">
        <v>432</v>
      </c>
      <c r="E13" s="33" t="s">
        <v>432</v>
      </c>
      <c r="F13" s="34">
        <v>8958364.7300000004</v>
      </c>
      <c r="G13" s="19" t="s">
        <v>427</v>
      </c>
      <c r="H13" s="19" t="s">
        <v>428</v>
      </c>
      <c r="I13" s="20" t="s">
        <v>429</v>
      </c>
      <c r="J13" s="20" t="s">
        <v>430</v>
      </c>
      <c r="K13" s="21"/>
    </row>
    <row r="14" spans="1:11" ht="15" x14ac:dyDescent="0.25">
      <c r="A14" s="32">
        <v>11</v>
      </c>
      <c r="B14" s="33">
        <v>2216674</v>
      </c>
      <c r="C14" s="36">
        <v>1</v>
      </c>
      <c r="D14" s="33" t="s">
        <v>432</v>
      </c>
      <c r="E14" s="33" t="s">
        <v>432</v>
      </c>
      <c r="F14" s="34">
        <v>9492238.3399999999</v>
      </c>
      <c r="G14" s="19" t="s">
        <v>427</v>
      </c>
      <c r="H14" s="35" t="s">
        <v>433</v>
      </c>
      <c r="I14" s="20" t="s">
        <v>429</v>
      </c>
      <c r="J14" s="20" t="s">
        <v>430</v>
      </c>
      <c r="K14" s="21"/>
    </row>
    <row r="15" spans="1:11" ht="15" x14ac:dyDescent="0.25">
      <c r="A15" s="32">
        <v>12</v>
      </c>
      <c r="B15" s="33">
        <v>2487772</v>
      </c>
      <c r="C15" s="33">
        <v>1</v>
      </c>
      <c r="D15" s="33" t="s">
        <v>434</v>
      </c>
      <c r="E15" s="33" t="s">
        <v>432</v>
      </c>
      <c r="F15" s="34">
        <v>10050392.35</v>
      </c>
      <c r="G15" s="19" t="s">
        <v>427</v>
      </c>
      <c r="H15" s="19" t="s">
        <v>428</v>
      </c>
      <c r="I15" s="20" t="s">
        <v>429</v>
      </c>
      <c r="J15" s="20" t="s">
        <v>430</v>
      </c>
      <c r="K15" s="21"/>
    </row>
    <row r="16" spans="1:11" ht="15" x14ac:dyDescent="0.25">
      <c r="A16" s="32">
        <v>13</v>
      </c>
      <c r="B16" s="33">
        <v>2347273</v>
      </c>
      <c r="C16" s="33">
        <v>1</v>
      </c>
      <c r="D16" s="33" t="s">
        <v>425</v>
      </c>
      <c r="E16" s="33" t="s">
        <v>426</v>
      </c>
      <c r="F16" s="34">
        <v>5381642.3499999996</v>
      </c>
      <c r="G16" s="19" t="s">
        <v>427</v>
      </c>
      <c r="H16" s="19" t="s">
        <v>428</v>
      </c>
      <c r="I16" s="20" t="s">
        <v>429</v>
      </c>
      <c r="J16" s="20" t="s">
        <v>430</v>
      </c>
      <c r="K16" s="21"/>
    </row>
    <row r="17" spans="1:11" ht="15" x14ac:dyDescent="0.25">
      <c r="A17" s="19">
        <v>14</v>
      </c>
      <c r="B17" s="33">
        <v>2613208</v>
      </c>
      <c r="C17" s="36">
        <v>1</v>
      </c>
      <c r="D17" s="33" t="s">
        <v>432</v>
      </c>
      <c r="E17" s="33" t="s">
        <v>432</v>
      </c>
      <c r="F17" s="34">
        <v>9902525.9000000004</v>
      </c>
      <c r="G17" s="19" t="s">
        <v>427</v>
      </c>
      <c r="H17" s="19" t="s">
        <v>428</v>
      </c>
      <c r="I17" s="20" t="s">
        <v>429</v>
      </c>
      <c r="J17" s="20" t="s">
        <v>430</v>
      </c>
      <c r="K17" s="21"/>
    </row>
    <row r="18" spans="1:11" ht="15" x14ac:dyDescent="0.25">
      <c r="A18" s="19">
        <v>15</v>
      </c>
      <c r="B18" s="33">
        <v>2561352</v>
      </c>
      <c r="C18" s="36">
        <v>1</v>
      </c>
      <c r="D18" s="33" t="s">
        <v>432</v>
      </c>
      <c r="E18" s="33" t="s">
        <v>432</v>
      </c>
      <c r="F18" s="34">
        <v>3015665.84</v>
      </c>
      <c r="G18" s="19" t="s">
        <v>427</v>
      </c>
      <c r="H18" s="19" t="s">
        <v>428</v>
      </c>
      <c r="I18" s="20" t="s">
        <v>429</v>
      </c>
      <c r="J18" s="20" t="s">
        <v>430</v>
      </c>
      <c r="K18" s="21"/>
    </row>
    <row r="19" spans="1:11" ht="15" x14ac:dyDescent="0.25">
      <c r="A19" s="19">
        <v>16</v>
      </c>
      <c r="B19" s="33">
        <v>2459693</v>
      </c>
      <c r="C19" s="33">
        <v>4</v>
      </c>
      <c r="D19" s="33" t="s">
        <v>425</v>
      </c>
      <c r="E19" s="33" t="s">
        <v>426</v>
      </c>
      <c r="F19" s="34">
        <v>7665344.1900000004</v>
      </c>
      <c r="G19" s="19" t="s">
        <v>427</v>
      </c>
      <c r="H19" s="19" t="s">
        <v>428</v>
      </c>
      <c r="I19" s="20" t="s">
        <v>429</v>
      </c>
      <c r="J19" s="20" t="s">
        <v>430</v>
      </c>
      <c r="K19" s="21"/>
    </row>
    <row r="20" spans="1:11" ht="15" x14ac:dyDescent="0.25">
      <c r="A20" s="19">
        <v>17</v>
      </c>
      <c r="B20" s="33">
        <v>2497772</v>
      </c>
      <c r="C20" s="33">
        <v>1</v>
      </c>
      <c r="D20" s="33" t="s">
        <v>425</v>
      </c>
      <c r="E20" s="33" t="s">
        <v>426</v>
      </c>
      <c r="F20" s="34">
        <v>9094625.5199999996</v>
      </c>
      <c r="G20" s="19" t="s">
        <v>427</v>
      </c>
      <c r="H20" s="19" t="s">
        <v>428</v>
      </c>
      <c r="I20" s="20" t="s">
        <v>429</v>
      </c>
      <c r="J20" s="20" t="s">
        <v>430</v>
      </c>
      <c r="K20" s="21"/>
    </row>
    <row r="21" spans="1:11" ht="15" x14ac:dyDescent="0.25">
      <c r="A21" s="19">
        <v>18</v>
      </c>
      <c r="B21" s="33">
        <v>2462756</v>
      </c>
      <c r="C21" s="33">
        <v>1</v>
      </c>
      <c r="D21" s="33" t="s">
        <v>425</v>
      </c>
      <c r="E21" s="33" t="s">
        <v>426</v>
      </c>
      <c r="F21" s="34">
        <v>9046750.5199999996</v>
      </c>
      <c r="G21" s="19" t="s">
        <v>427</v>
      </c>
      <c r="H21" s="19" t="s">
        <v>428</v>
      </c>
      <c r="I21" s="20" t="s">
        <v>429</v>
      </c>
      <c r="J21" s="20" t="s">
        <v>430</v>
      </c>
      <c r="K21" s="21"/>
    </row>
    <row r="22" spans="1:11" ht="15" x14ac:dyDescent="0.25">
      <c r="A22" s="32">
        <v>19</v>
      </c>
      <c r="B22" s="33">
        <v>2328519</v>
      </c>
      <c r="C22" s="33">
        <v>1</v>
      </c>
      <c r="D22" s="33" t="s">
        <v>425</v>
      </c>
      <c r="E22" s="33" t="s">
        <v>426</v>
      </c>
      <c r="F22" s="34">
        <v>5521115.5700000003</v>
      </c>
      <c r="G22" s="19" t="s">
        <v>427</v>
      </c>
      <c r="H22" s="19" t="s">
        <v>428</v>
      </c>
      <c r="I22" s="20" t="s">
        <v>429</v>
      </c>
      <c r="J22" s="20" t="s">
        <v>430</v>
      </c>
      <c r="K22" s="21"/>
    </row>
    <row r="23" spans="1:11" ht="15" x14ac:dyDescent="0.25">
      <c r="A23" s="32">
        <v>20</v>
      </c>
      <c r="B23" s="33">
        <v>2303230</v>
      </c>
      <c r="C23" s="33">
        <v>1</v>
      </c>
      <c r="D23" s="33" t="s">
        <v>432</v>
      </c>
      <c r="E23" s="33" t="s">
        <v>432</v>
      </c>
      <c r="F23" s="34">
        <v>9585247.1400000006</v>
      </c>
      <c r="G23" s="19" t="s">
        <v>427</v>
      </c>
      <c r="H23" s="19" t="s">
        <v>428</v>
      </c>
      <c r="I23" s="20" t="s">
        <v>429</v>
      </c>
      <c r="J23" s="20" t="s">
        <v>430</v>
      </c>
      <c r="K23" s="21"/>
    </row>
    <row r="24" spans="1:11" ht="15" x14ac:dyDescent="0.25">
      <c r="A24" s="32">
        <v>21</v>
      </c>
      <c r="B24" s="33">
        <v>2460964</v>
      </c>
      <c r="C24" s="33">
        <v>2</v>
      </c>
      <c r="D24" s="33" t="s">
        <v>432</v>
      </c>
      <c r="E24" s="33" t="s">
        <v>432</v>
      </c>
      <c r="F24" s="34">
        <v>6128027.96</v>
      </c>
      <c r="G24" s="19" t="s">
        <v>427</v>
      </c>
      <c r="H24" s="19" t="s">
        <v>428</v>
      </c>
      <c r="I24" s="20" t="s">
        <v>429</v>
      </c>
      <c r="J24" s="20" t="s">
        <v>430</v>
      </c>
      <c r="K24" s="21"/>
    </row>
    <row r="25" spans="1:11" ht="15" x14ac:dyDescent="0.25">
      <c r="A25" s="32">
        <v>22</v>
      </c>
      <c r="B25" s="33">
        <v>2237547</v>
      </c>
      <c r="C25" s="36">
        <v>1</v>
      </c>
      <c r="D25" s="33" t="s">
        <v>432</v>
      </c>
      <c r="E25" s="33" t="s">
        <v>432</v>
      </c>
      <c r="F25" s="34">
        <v>5517369.29</v>
      </c>
      <c r="G25" s="19" t="s">
        <v>427</v>
      </c>
      <c r="H25" s="19" t="s">
        <v>428</v>
      </c>
      <c r="I25" s="20" t="s">
        <v>429</v>
      </c>
      <c r="J25" s="20" t="s">
        <v>430</v>
      </c>
      <c r="K25" s="21"/>
    </row>
    <row r="26" spans="1:11" ht="15" x14ac:dyDescent="0.25">
      <c r="A26" s="19">
        <v>23</v>
      </c>
      <c r="B26" s="33">
        <v>2465251</v>
      </c>
      <c r="C26" s="33">
        <v>1</v>
      </c>
      <c r="D26" s="33" t="s">
        <v>435</v>
      </c>
      <c r="E26" s="33" t="s">
        <v>432</v>
      </c>
      <c r="F26" s="34">
        <v>3660208.59</v>
      </c>
      <c r="G26" s="19" t="s">
        <v>427</v>
      </c>
      <c r="H26" s="35" t="s">
        <v>433</v>
      </c>
      <c r="I26" s="20" t="s">
        <v>429</v>
      </c>
      <c r="J26" s="20" t="s">
        <v>430</v>
      </c>
      <c r="K26" s="21"/>
    </row>
    <row r="27" spans="1:11" ht="15" x14ac:dyDescent="0.25">
      <c r="A27" s="19">
        <v>24</v>
      </c>
      <c r="B27" s="33">
        <v>2470469</v>
      </c>
      <c r="C27" s="33">
        <v>1</v>
      </c>
      <c r="D27" s="33" t="s">
        <v>436</v>
      </c>
      <c r="E27" s="33" t="s">
        <v>432</v>
      </c>
      <c r="F27" s="34">
        <v>16188345.76</v>
      </c>
      <c r="G27" s="19" t="s">
        <v>427</v>
      </c>
      <c r="H27" s="19" t="s">
        <v>428</v>
      </c>
      <c r="I27" s="20" t="s">
        <v>429</v>
      </c>
      <c r="J27" s="20" t="s">
        <v>430</v>
      </c>
      <c r="K27" s="21"/>
    </row>
    <row r="28" spans="1:11" ht="15" x14ac:dyDescent="0.25">
      <c r="A28" s="19">
        <v>25</v>
      </c>
      <c r="B28" s="33">
        <v>2309890</v>
      </c>
      <c r="C28" s="33">
        <v>2</v>
      </c>
      <c r="D28" s="33" t="s">
        <v>437</v>
      </c>
      <c r="E28" s="33" t="s">
        <v>426</v>
      </c>
      <c r="F28" s="34">
        <v>9041715.0099999998</v>
      </c>
      <c r="G28" s="19" t="s">
        <v>427</v>
      </c>
      <c r="H28" s="35" t="s">
        <v>433</v>
      </c>
      <c r="I28" s="20" t="s">
        <v>429</v>
      </c>
      <c r="J28" s="20" t="s">
        <v>430</v>
      </c>
      <c r="K28" s="21"/>
    </row>
    <row r="29" spans="1:11" ht="15" x14ac:dyDescent="0.25">
      <c r="A29" s="19">
        <v>26</v>
      </c>
      <c r="B29" s="33">
        <v>2430740</v>
      </c>
      <c r="C29" s="33">
        <v>1</v>
      </c>
      <c r="D29" s="33" t="s">
        <v>438</v>
      </c>
      <c r="E29" s="33" t="s">
        <v>426</v>
      </c>
      <c r="F29" s="34">
        <v>9380545.3100000005</v>
      </c>
      <c r="G29" s="19" t="s">
        <v>427</v>
      </c>
      <c r="H29" s="35" t="s">
        <v>433</v>
      </c>
      <c r="I29" s="20" t="s">
        <v>429</v>
      </c>
      <c r="J29" s="20" t="s">
        <v>430</v>
      </c>
      <c r="K29" s="21"/>
    </row>
    <row r="30" spans="1:11" ht="15" x14ac:dyDescent="0.25">
      <c r="A30" s="19">
        <v>27</v>
      </c>
      <c r="B30" s="33">
        <v>2575493</v>
      </c>
      <c r="C30" s="33">
        <v>1</v>
      </c>
      <c r="D30" s="33" t="s">
        <v>425</v>
      </c>
      <c r="E30" s="33" t="s">
        <v>426</v>
      </c>
      <c r="F30" s="34">
        <v>17032796.710000001</v>
      </c>
      <c r="G30" s="19" t="s">
        <v>427</v>
      </c>
      <c r="H30" s="35" t="s">
        <v>433</v>
      </c>
      <c r="I30" s="20" t="s">
        <v>429</v>
      </c>
      <c r="J30" s="20" t="s">
        <v>430</v>
      </c>
      <c r="K30" s="21"/>
    </row>
    <row r="31" spans="1:11" ht="15" x14ac:dyDescent="0.25">
      <c r="A31" s="32">
        <v>28</v>
      </c>
      <c r="B31" s="33">
        <v>2450759</v>
      </c>
      <c r="C31" s="33">
        <v>1</v>
      </c>
      <c r="D31" s="33" t="s">
        <v>425</v>
      </c>
      <c r="E31" s="33" t="s">
        <v>426</v>
      </c>
      <c r="F31" s="34">
        <v>7103726.8700000001</v>
      </c>
      <c r="G31" s="19" t="s">
        <v>427</v>
      </c>
      <c r="H31" s="19" t="s">
        <v>428</v>
      </c>
      <c r="I31" s="20" t="s">
        <v>429</v>
      </c>
      <c r="J31" s="20" t="s">
        <v>430</v>
      </c>
      <c r="K31" s="21"/>
    </row>
    <row r="32" spans="1:11" ht="15" x14ac:dyDescent="0.25">
      <c r="A32" s="32">
        <v>29</v>
      </c>
      <c r="B32" s="33">
        <v>2452409</v>
      </c>
      <c r="C32" s="33">
        <v>1</v>
      </c>
      <c r="D32" s="33" t="s">
        <v>432</v>
      </c>
      <c r="E32" s="33" t="s">
        <v>432</v>
      </c>
      <c r="F32" s="34">
        <v>6331362.25</v>
      </c>
      <c r="G32" s="19" t="s">
        <v>427</v>
      </c>
      <c r="H32" s="19" t="s">
        <v>428</v>
      </c>
      <c r="I32" s="20" t="s">
        <v>429</v>
      </c>
      <c r="J32" s="20" t="s">
        <v>430</v>
      </c>
      <c r="K32" s="21"/>
    </row>
    <row r="33" spans="1:11" ht="15" x14ac:dyDescent="0.25">
      <c r="A33" s="32">
        <v>30</v>
      </c>
      <c r="B33" s="33">
        <v>2454532</v>
      </c>
      <c r="C33" s="33">
        <v>1</v>
      </c>
      <c r="D33" s="33" t="s">
        <v>439</v>
      </c>
      <c r="E33" s="33" t="s">
        <v>426</v>
      </c>
      <c r="F33" s="34">
        <v>9302497.9900000002</v>
      </c>
      <c r="G33" s="19" t="s">
        <v>427</v>
      </c>
      <c r="H33" s="35" t="s">
        <v>431</v>
      </c>
      <c r="I33" s="20" t="s">
        <v>429</v>
      </c>
      <c r="J33" s="20" t="s">
        <v>430</v>
      </c>
      <c r="K33" s="21"/>
    </row>
    <row r="34" spans="1:11" ht="15" x14ac:dyDescent="0.25">
      <c r="A34" s="32">
        <v>31</v>
      </c>
      <c r="B34" s="33">
        <v>2489340</v>
      </c>
      <c r="C34" s="33">
        <v>1</v>
      </c>
      <c r="D34" s="33" t="s">
        <v>425</v>
      </c>
      <c r="E34" s="33" t="s">
        <v>426</v>
      </c>
      <c r="F34" s="34">
        <v>4779561.6399999997</v>
      </c>
      <c r="G34" s="19" t="s">
        <v>427</v>
      </c>
      <c r="H34" s="35" t="s">
        <v>433</v>
      </c>
      <c r="I34" s="20" t="s">
        <v>429</v>
      </c>
      <c r="J34" s="20" t="s">
        <v>430</v>
      </c>
      <c r="K34" s="21"/>
    </row>
    <row r="35" spans="1:11" ht="15" x14ac:dyDescent="0.25">
      <c r="A35" s="19">
        <v>32</v>
      </c>
      <c r="B35" s="33">
        <v>2453786</v>
      </c>
      <c r="C35" s="33">
        <v>1</v>
      </c>
      <c r="D35" s="33" t="s">
        <v>425</v>
      </c>
      <c r="E35" s="33" t="s">
        <v>426</v>
      </c>
      <c r="F35" s="34">
        <v>4608279.9400000004</v>
      </c>
      <c r="G35" s="19" t="s">
        <v>427</v>
      </c>
      <c r="H35" s="35" t="s">
        <v>433</v>
      </c>
      <c r="I35" s="20" t="s">
        <v>429</v>
      </c>
      <c r="J35" s="20" t="s">
        <v>430</v>
      </c>
      <c r="K35" s="21"/>
    </row>
    <row r="36" spans="1:11" ht="15" x14ac:dyDescent="0.25">
      <c r="A36" s="19">
        <v>33</v>
      </c>
      <c r="B36" s="33">
        <v>2590525</v>
      </c>
      <c r="C36" s="33">
        <v>1</v>
      </c>
      <c r="D36" s="33" t="s">
        <v>425</v>
      </c>
      <c r="E36" s="33" t="s">
        <v>426</v>
      </c>
      <c r="F36" s="34">
        <v>3764127.56</v>
      </c>
      <c r="G36" s="19" t="s">
        <v>427</v>
      </c>
      <c r="H36" s="19" t="s">
        <v>428</v>
      </c>
      <c r="I36" s="20" t="s">
        <v>429</v>
      </c>
      <c r="J36" s="20" t="s">
        <v>430</v>
      </c>
      <c r="K36" s="21"/>
    </row>
    <row r="37" spans="1:11" ht="15" x14ac:dyDescent="0.25">
      <c r="A37" s="19">
        <v>34</v>
      </c>
      <c r="B37" s="33">
        <v>2250883</v>
      </c>
      <c r="C37" s="33">
        <v>1</v>
      </c>
      <c r="D37" s="33" t="s">
        <v>425</v>
      </c>
      <c r="E37" s="33" t="s">
        <v>426</v>
      </c>
      <c r="F37" s="34">
        <v>7008161.2999999998</v>
      </c>
      <c r="G37" s="19" t="s">
        <v>427</v>
      </c>
      <c r="H37" s="19" t="s">
        <v>428</v>
      </c>
      <c r="I37" s="20" t="s">
        <v>429</v>
      </c>
      <c r="J37" s="20" t="s">
        <v>430</v>
      </c>
      <c r="K37" s="21"/>
    </row>
    <row r="38" spans="1:11" ht="15" x14ac:dyDescent="0.25">
      <c r="A38" s="19">
        <v>35</v>
      </c>
      <c r="B38" s="33">
        <v>2302445</v>
      </c>
      <c r="C38" s="33">
        <v>3</v>
      </c>
      <c r="D38" s="33" t="s">
        <v>425</v>
      </c>
      <c r="E38" s="33" t="s">
        <v>426</v>
      </c>
      <c r="F38" s="34">
        <v>18089185</v>
      </c>
      <c r="G38" s="19" t="s">
        <v>427</v>
      </c>
      <c r="H38" s="35" t="s">
        <v>433</v>
      </c>
      <c r="I38" s="20" t="s">
        <v>429</v>
      </c>
      <c r="J38" s="20" t="s">
        <v>430</v>
      </c>
      <c r="K38" s="21"/>
    </row>
    <row r="39" spans="1:11" ht="15" x14ac:dyDescent="0.25">
      <c r="A39" s="19">
        <v>36</v>
      </c>
      <c r="B39" s="33">
        <v>2469511</v>
      </c>
      <c r="C39" s="33">
        <v>2</v>
      </c>
      <c r="D39" s="33" t="s">
        <v>425</v>
      </c>
      <c r="E39" s="33" t="s">
        <v>426</v>
      </c>
      <c r="F39" s="34">
        <v>6337050.71</v>
      </c>
      <c r="G39" s="19" t="s">
        <v>427</v>
      </c>
      <c r="H39" s="35" t="s">
        <v>433</v>
      </c>
      <c r="I39" s="20" t="s">
        <v>429</v>
      </c>
      <c r="J39" s="20" t="s">
        <v>430</v>
      </c>
      <c r="K39" s="21"/>
    </row>
    <row r="40" spans="1:11" ht="15" x14ac:dyDescent="0.25">
      <c r="A40" s="32">
        <v>37</v>
      </c>
      <c r="B40" s="33">
        <v>2225813</v>
      </c>
      <c r="C40" s="33">
        <v>4</v>
      </c>
      <c r="D40" s="33" t="s">
        <v>432</v>
      </c>
      <c r="E40" s="33" t="s">
        <v>432</v>
      </c>
      <c r="F40" s="34">
        <v>23402312.149999999</v>
      </c>
      <c r="G40" s="19" t="s">
        <v>427</v>
      </c>
      <c r="H40" s="35" t="s">
        <v>433</v>
      </c>
      <c r="I40" s="20" t="s">
        <v>429</v>
      </c>
      <c r="J40" s="20" t="s">
        <v>430</v>
      </c>
      <c r="K40" s="21"/>
    </row>
    <row r="41" spans="1:11" ht="15" x14ac:dyDescent="0.25">
      <c r="A41" s="32">
        <v>38</v>
      </c>
      <c r="B41" s="33">
        <v>2225141</v>
      </c>
      <c r="C41" s="33">
        <v>1</v>
      </c>
      <c r="D41" s="33" t="s">
        <v>432</v>
      </c>
      <c r="E41" s="33" t="s">
        <v>432</v>
      </c>
      <c r="F41" s="34">
        <v>4581513.62</v>
      </c>
      <c r="G41" s="19" t="s">
        <v>427</v>
      </c>
      <c r="H41" s="19" t="s">
        <v>428</v>
      </c>
      <c r="I41" s="20" t="s">
        <v>429</v>
      </c>
      <c r="J41" s="20" t="s">
        <v>430</v>
      </c>
      <c r="K41" s="21"/>
    </row>
    <row r="42" spans="1:11" ht="15" x14ac:dyDescent="0.25">
      <c r="A42" s="32">
        <v>39</v>
      </c>
      <c r="B42" s="33">
        <v>2597573</v>
      </c>
      <c r="C42" s="36">
        <v>1</v>
      </c>
      <c r="D42" s="33" t="s">
        <v>432</v>
      </c>
      <c r="E42" s="33" t="s">
        <v>432</v>
      </c>
      <c r="F42" s="34">
        <v>12316967</v>
      </c>
      <c r="G42" s="19" t="s">
        <v>427</v>
      </c>
      <c r="H42" s="35" t="s">
        <v>433</v>
      </c>
      <c r="I42" s="20" t="s">
        <v>429</v>
      </c>
      <c r="J42" s="20" t="s">
        <v>430</v>
      </c>
      <c r="K42" s="21"/>
    </row>
    <row r="43" spans="1:11" ht="15" x14ac:dyDescent="0.25">
      <c r="A43" s="32">
        <v>40</v>
      </c>
      <c r="B43" s="33">
        <v>2454034</v>
      </c>
      <c r="C43" s="36">
        <v>3</v>
      </c>
      <c r="D43" s="33" t="s">
        <v>432</v>
      </c>
      <c r="E43" s="33" t="s">
        <v>432</v>
      </c>
      <c r="F43" s="34">
        <v>8359431.75</v>
      </c>
      <c r="G43" s="19" t="s">
        <v>427</v>
      </c>
      <c r="H43" s="19" t="s">
        <v>428</v>
      </c>
      <c r="I43" s="20" t="s">
        <v>429</v>
      </c>
      <c r="J43" s="20" t="s">
        <v>430</v>
      </c>
      <c r="K43" s="21"/>
    </row>
    <row r="44" spans="1:11" ht="15" x14ac:dyDescent="0.25">
      <c r="A44" s="19">
        <v>41</v>
      </c>
      <c r="B44" s="33">
        <v>2613501</v>
      </c>
      <c r="C44" s="36">
        <v>1</v>
      </c>
      <c r="D44" s="33" t="s">
        <v>432</v>
      </c>
      <c r="E44" s="33" t="s">
        <v>432</v>
      </c>
      <c r="F44" s="34">
        <v>13856346.939999999</v>
      </c>
      <c r="G44" s="19" t="s">
        <v>427</v>
      </c>
      <c r="H44" s="35" t="s">
        <v>433</v>
      </c>
      <c r="I44" s="20" t="s">
        <v>429</v>
      </c>
      <c r="J44" s="20" t="s">
        <v>430</v>
      </c>
      <c r="K44" s="21"/>
    </row>
    <row r="45" spans="1:11" ht="15" x14ac:dyDescent="0.25">
      <c r="A45" s="19">
        <v>42</v>
      </c>
      <c r="B45" s="33">
        <v>2597513</v>
      </c>
      <c r="C45" s="36">
        <v>1</v>
      </c>
      <c r="D45" s="33" t="s">
        <v>432</v>
      </c>
      <c r="E45" s="33" t="s">
        <v>432</v>
      </c>
      <c r="F45" s="34">
        <v>13022922.18</v>
      </c>
      <c r="G45" s="19" t="s">
        <v>427</v>
      </c>
      <c r="H45" s="35" t="s">
        <v>433</v>
      </c>
      <c r="I45" s="20" t="s">
        <v>429</v>
      </c>
      <c r="J45" s="20" t="s">
        <v>430</v>
      </c>
      <c r="K45" s="21"/>
    </row>
    <row r="46" spans="1:11" ht="15" x14ac:dyDescent="0.25">
      <c r="A46" s="19">
        <v>43</v>
      </c>
      <c r="B46" s="33">
        <v>2319063</v>
      </c>
      <c r="C46" s="33">
        <v>3</v>
      </c>
      <c r="D46" s="33" t="s">
        <v>438</v>
      </c>
      <c r="E46" s="33" t="s">
        <v>426</v>
      </c>
      <c r="F46" s="34">
        <v>18538441.84</v>
      </c>
      <c r="G46" s="19" t="s">
        <v>427</v>
      </c>
      <c r="H46" s="35" t="s">
        <v>433</v>
      </c>
      <c r="I46" s="20" t="s">
        <v>429</v>
      </c>
      <c r="J46" s="20" t="s">
        <v>430</v>
      </c>
      <c r="K46" s="21"/>
    </row>
    <row r="47" spans="1:11" ht="15" x14ac:dyDescent="0.25">
      <c r="A47" s="19">
        <v>44</v>
      </c>
      <c r="B47" s="33">
        <v>2482305</v>
      </c>
      <c r="C47" s="33">
        <v>1</v>
      </c>
      <c r="D47" s="33" t="s">
        <v>434</v>
      </c>
      <c r="E47" s="33" t="s">
        <v>432</v>
      </c>
      <c r="F47" s="34">
        <v>5899333.3099999996</v>
      </c>
      <c r="G47" s="19" t="s">
        <v>427</v>
      </c>
      <c r="H47" s="19" t="s">
        <v>428</v>
      </c>
      <c r="I47" s="20" t="s">
        <v>429</v>
      </c>
      <c r="J47" s="20" t="s">
        <v>430</v>
      </c>
      <c r="K47" s="21"/>
    </row>
    <row r="48" spans="1:11" ht="15" x14ac:dyDescent="0.25">
      <c r="A48" s="19">
        <v>45</v>
      </c>
      <c r="B48" s="33">
        <v>2437150</v>
      </c>
      <c r="C48" s="33">
        <v>1</v>
      </c>
      <c r="D48" s="33" t="s">
        <v>439</v>
      </c>
      <c r="E48" s="33" t="s">
        <v>432</v>
      </c>
      <c r="F48" s="34">
        <v>9892147.3800000008</v>
      </c>
      <c r="G48" s="19" t="s">
        <v>427</v>
      </c>
      <c r="H48" s="19" t="s">
        <v>428</v>
      </c>
      <c r="I48" s="20" t="s">
        <v>429</v>
      </c>
      <c r="J48" s="20" t="s">
        <v>430</v>
      </c>
      <c r="K48" s="21"/>
    </row>
    <row r="49" spans="1:11" ht="15" x14ac:dyDescent="0.25">
      <c r="A49" s="32">
        <v>46</v>
      </c>
      <c r="B49" s="33">
        <v>2300878</v>
      </c>
      <c r="C49" s="33">
        <v>1</v>
      </c>
      <c r="D49" s="33" t="s">
        <v>434</v>
      </c>
      <c r="E49" s="33" t="s">
        <v>426</v>
      </c>
      <c r="F49" s="34">
        <v>6135100.9100000001</v>
      </c>
      <c r="G49" s="19" t="s">
        <v>427</v>
      </c>
      <c r="H49" s="35" t="s">
        <v>433</v>
      </c>
      <c r="I49" s="20" t="s">
        <v>429</v>
      </c>
      <c r="J49" s="20" t="s">
        <v>430</v>
      </c>
      <c r="K49" s="21"/>
    </row>
    <row r="50" spans="1:11" ht="15" x14ac:dyDescent="0.25">
      <c r="A50" s="32">
        <v>47</v>
      </c>
      <c r="B50" s="33">
        <v>2495978</v>
      </c>
      <c r="C50" s="33">
        <v>1</v>
      </c>
      <c r="D50" s="33" t="s">
        <v>440</v>
      </c>
      <c r="E50" s="33" t="s">
        <v>426</v>
      </c>
      <c r="F50" s="34">
        <v>2444151.7400000002</v>
      </c>
      <c r="G50" s="19" t="s">
        <v>427</v>
      </c>
      <c r="H50" s="35" t="s">
        <v>433</v>
      </c>
      <c r="I50" s="20" t="s">
        <v>429</v>
      </c>
      <c r="J50" s="20" t="s">
        <v>430</v>
      </c>
      <c r="K50" s="21"/>
    </row>
    <row r="51" spans="1:11" ht="15" x14ac:dyDescent="0.25">
      <c r="A51" s="32">
        <v>48</v>
      </c>
      <c r="B51" s="33">
        <v>2589750</v>
      </c>
      <c r="C51" s="33">
        <v>1</v>
      </c>
      <c r="D51" s="33" t="s">
        <v>425</v>
      </c>
      <c r="E51" s="33" t="s">
        <v>426</v>
      </c>
      <c r="F51" s="34">
        <v>7809633.0599999996</v>
      </c>
      <c r="G51" s="19" t="s">
        <v>427</v>
      </c>
      <c r="H51" s="19" t="s">
        <v>428</v>
      </c>
      <c r="I51" s="20" t="s">
        <v>429</v>
      </c>
      <c r="J51" s="20" t="s">
        <v>430</v>
      </c>
      <c r="K51" s="21"/>
    </row>
    <row r="52" spans="1:11" ht="15" x14ac:dyDescent="0.25">
      <c r="A52" s="32">
        <v>49</v>
      </c>
      <c r="B52" s="33">
        <v>2524755</v>
      </c>
      <c r="C52" s="33">
        <v>1</v>
      </c>
      <c r="D52" s="33" t="s">
        <v>425</v>
      </c>
      <c r="E52" s="33" t="s">
        <v>426</v>
      </c>
      <c r="F52" s="34">
        <v>4887657.7300000004</v>
      </c>
      <c r="G52" s="19" t="s">
        <v>427</v>
      </c>
      <c r="H52" s="35" t="s">
        <v>431</v>
      </c>
      <c r="I52" s="20" t="s">
        <v>429</v>
      </c>
      <c r="J52" s="20" t="s">
        <v>430</v>
      </c>
      <c r="K52" s="21"/>
    </row>
    <row r="53" spans="1:11" ht="15" x14ac:dyDescent="0.25">
      <c r="A53" s="19">
        <v>50</v>
      </c>
      <c r="B53" s="33">
        <v>2309382</v>
      </c>
      <c r="C53" s="33">
        <v>1</v>
      </c>
      <c r="D53" s="33" t="s">
        <v>425</v>
      </c>
      <c r="E53" s="33" t="s">
        <v>426</v>
      </c>
      <c r="F53" s="34">
        <v>18255059.030000001</v>
      </c>
      <c r="G53" s="19" t="s">
        <v>427</v>
      </c>
      <c r="H53" s="19" t="s">
        <v>428</v>
      </c>
      <c r="I53" s="20" t="s">
        <v>429</v>
      </c>
      <c r="J53" s="20" t="s">
        <v>430</v>
      </c>
      <c r="K53" s="21"/>
    </row>
    <row r="54" spans="1:11" ht="15" x14ac:dyDescent="0.25">
      <c r="A54" s="19">
        <v>51</v>
      </c>
      <c r="B54" s="33">
        <v>2440951</v>
      </c>
      <c r="C54" s="33">
        <v>1</v>
      </c>
      <c r="D54" s="33" t="s">
        <v>425</v>
      </c>
      <c r="E54" s="33" t="s">
        <v>426</v>
      </c>
      <c r="F54" s="34">
        <v>8007560.79</v>
      </c>
      <c r="G54" s="19" t="s">
        <v>427</v>
      </c>
      <c r="H54" s="19" t="s">
        <v>428</v>
      </c>
      <c r="I54" s="20" t="s">
        <v>429</v>
      </c>
      <c r="J54" s="20" t="s">
        <v>430</v>
      </c>
      <c r="K54" s="21"/>
    </row>
    <row r="55" spans="1:11" ht="15" x14ac:dyDescent="0.25">
      <c r="A55" s="19">
        <v>52</v>
      </c>
      <c r="B55" s="33">
        <v>2402518</v>
      </c>
      <c r="C55" s="33">
        <v>1</v>
      </c>
      <c r="D55" s="33" t="s">
        <v>425</v>
      </c>
      <c r="E55" s="33" t="s">
        <v>426</v>
      </c>
      <c r="F55" s="34">
        <v>9819375.0299999993</v>
      </c>
      <c r="G55" s="19" t="s">
        <v>427</v>
      </c>
      <c r="H55" s="19" t="s">
        <v>428</v>
      </c>
      <c r="I55" s="20" t="s">
        <v>429</v>
      </c>
      <c r="J55" s="20" t="s">
        <v>430</v>
      </c>
      <c r="K55" s="21"/>
    </row>
    <row r="56" spans="1:11" ht="15" x14ac:dyDescent="0.25">
      <c r="A56" s="33" t="s">
        <v>426</v>
      </c>
      <c r="B56" s="36">
        <v>2126075</v>
      </c>
      <c r="C56" s="33">
        <v>1</v>
      </c>
      <c r="D56" s="33" t="s">
        <v>426</v>
      </c>
      <c r="E56" s="33" t="s">
        <v>426</v>
      </c>
      <c r="F56" s="34">
        <v>1040414.45</v>
      </c>
      <c r="G56" s="19" t="s">
        <v>427</v>
      </c>
      <c r="H56" s="19" t="s">
        <v>428</v>
      </c>
      <c r="I56" s="20" t="s">
        <v>429</v>
      </c>
      <c r="J56" s="20" t="s">
        <v>430</v>
      </c>
      <c r="K56" s="21"/>
    </row>
    <row r="57" spans="1:11" ht="15" x14ac:dyDescent="0.25">
      <c r="A57" s="19">
        <v>54</v>
      </c>
      <c r="B57" s="33">
        <v>2369247</v>
      </c>
      <c r="C57" s="33">
        <v>1</v>
      </c>
      <c r="D57" s="33" t="s">
        <v>425</v>
      </c>
      <c r="E57" s="33" t="s">
        <v>426</v>
      </c>
      <c r="F57" s="34">
        <v>18397332.199999999</v>
      </c>
      <c r="G57" s="19" t="s">
        <v>427</v>
      </c>
      <c r="H57" s="19" t="s">
        <v>428</v>
      </c>
      <c r="I57" s="20" t="s">
        <v>429</v>
      </c>
      <c r="J57" s="20" t="s">
        <v>430</v>
      </c>
      <c r="K57" s="21"/>
    </row>
    <row r="58" spans="1:11" ht="15" x14ac:dyDescent="0.25">
      <c r="A58" s="32">
        <v>55</v>
      </c>
      <c r="B58" s="33">
        <v>2239120</v>
      </c>
      <c r="C58" s="33">
        <v>1</v>
      </c>
      <c r="D58" s="33" t="s">
        <v>425</v>
      </c>
      <c r="E58" s="33" t="s">
        <v>426</v>
      </c>
      <c r="F58" s="34">
        <v>14783792.08</v>
      </c>
      <c r="G58" s="19" t="s">
        <v>427</v>
      </c>
      <c r="H58" s="19" t="s">
        <v>428</v>
      </c>
      <c r="I58" s="20" t="s">
        <v>429</v>
      </c>
      <c r="J58" s="20" t="s">
        <v>430</v>
      </c>
      <c r="K58" s="21"/>
    </row>
    <row r="59" spans="1:11" ht="15" x14ac:dyDescent="0.25">
      <c r="A59" s="32">
        <v>56</v>
      </c>
      <c r="B59" s="33">
        <v>2369008</v>
      </c>
      <c r="C59" s="33">
        <v>1</v>
      </c>
      <c r="D59" s="33" t="s">
        <v>425</v>
      </c>
      <c r="E59" s="33" t="s">
        <v>426</v>
      </c>
      <c r="F59" s="34">
        <v>22687981.57</v>
      </c>
      <c r="G59" s="19" t="s">
        <v>427</v>
      </c>
      <c r="H59" s="19" t="s">
        <v>428</v>
      </c>
      <c r="I59" s="20" t="s">
        <v>429</v>
      </c>
      <c r="J59" s="20" t="s">
        <v>430</v>
      </c>
      <c r="K59" s="21"/>
    </row>
    <row r="60" spans="1:11" ht="15" x14ac:dyDescent="0.25">
      <c r="A60" s="32">
        <v>57</v>
      </c>
      <c r="B60" s="33">
        <v>2185733</v>
      </c>
      <c r="C60" s="33">
        <v>1</v>
      </c>
      <c r="D60" s="33" t="s">
        <v>432</v>
      </c>
      <c r="E60" s="33" t="s">
        <v>432</v>
      </c>
      <c r="F60" s="34">
        <v>1901621.87</v>
      </c>
      <c r="G60" s="19" t="s">
        <v>427</v>
      </c>
      <c r="H60" s="19" t="s">
        <v>428</v>
      </c>
      <c r="I60" s="20" t="s">
        <v>429</v>
      </c>
      <c r="J60" s="20" t="s">
        <v>430</v>
      </c>
      <c r="K60" s="21"/>
    </row>
    <row r="61" spans="1:11" ht="15" x14ac:dyDescent="0.25">
      <c r="A61" s="32">
        <v>58</v>
      </c>
      <c r="B61" s="33">
        <v>2460881</v>
      </c>
      <c r="C61" s="33">
        <v>1</v>
      </c>
      <c r="D61" s="33" t="s">
        <v>432</v>
      </c>
      <c r="E61" s="33" t="s">
        <v>432</v>
      </c>
      <c r="F61" s="34">
        <v>5239764.6900000004</v>
      </c>
      <c r="G61" s="19" t="s">
        <v>427</v>
      </c>
      <c r="H61" s="19" t="s">
        <v>428</v>
      </c>
      <c r="I61" s="20" t="s">
        <v>429</v>
      </c>
      <c r="J61" s="20" t="s">
        <v>430</v>
      </c>
      <c r="K61" s="21"/>
    </row>
    <row r="62" spans="1:11" ht="15" x14ac:dyDescent="0.25">
      <c r="A62" s="19">
        <v>59</v>
      </c>
      <c r="B62" s="33">
        <v>2468810</v>
      </c>
      <c r="C62" s="36">
        <v>1</v>
      </c>
      <c r="D62" s="33" t="s">
        <v>432</v>
      </c>
      <c r="E62" s="33" t="s">
        <v>432</v>
      </c>
      <c r="F62" s="34">
        <v>9946368.3900000006</v>
      </c>
      <c r="G62" s="19" t="s">
        <v>427</v>
      </c>
      <c r="H62" s="19" t="s">
        <v>428</v>
      </c>
      <c r="I62" s="20" t="s">
        <v>429</v>
      </c>
      <c r="J62" s="20" t="s">
        <v>430</v>
      </c>
      <c r="K62" s="21"/>
    </row>
    <row r="63" spans="1:11" ht="15" x14ac:dyDescent="0.25">
      <c r="A63" s="19">
        <v>60</v>
      </c>
      <c r="B63" s="33">
        <v>2412139</v>
      </c>
      <c r="C63" s="36">
        <v>1</v>
      </c>
      <c r="D63" s="33" t="s">
        <v>432</v>
      </c>
      <c r="E63" s="33" t="s">
        <v>432</v>
      </c>
      <c r="F63" s="34">
        <v>11322195.970000001</v>
      </c>
      <c r="G63" s="19" t="s">
        <v>427</v>
      </c>
      <c r="H63" s="19" t="s">
        <v>428</v>
      </c>
      <c r="I63" s="20" t="s">
        <v>429</v>
      </c>
      <c r="J63" s="20" t="s">
        <v>430</v>
      </c>
      <c r="K63" s="21"/>
    </row>
    <row r="64" spans="1:11" ht="15" x14ac:dyDescent="0.25">
      <c r="A64" s="19">
        <v>61</v>
      </c>
      <c r="B64" s="33">
        <v>2438773</v>
      </c>
      <c r="C64" s="36">
        <v>1</v>
      </c>
      <c r="D64" s="33" t="s">
        <v>432</v>
      </c>
      <c r="E64" s="33" t="s">
        <v>432</v>
      </c>
      <c r="F64" s="34">
        <v>6998985.7199999997</v>
      </c>
      <c r="G64" s="19" t="s">
        <v>427</v>
      </c>
      <c r="H64" s="19" t="s">
        <v>428</v>
      </c>
      <c r="I64" s="20" t="s">
        <v>429</v>
      </c>
      <c r="J64" s="20" t="s">
        <v>430</v>
      </c>
      <c r="K64" s="21"/>
    </row>
    <row r="65" spans="1:11" ht="15" x14ac:dyDescent="0.25">
      <c r="A65" s="19">
        <v>62</v>
      </c>
      <c r="B65" s="33">
        <v>2273573</v>
      </c>
      <c r="C65" s="33">
        <v>1</v>
      </c>
      <c r="D65" s="33" t="s">
        <v>438</v>
      </c>
      <c r="E65" s="33" t="s">
        <v>426</v>
      </c>
      <c r="F65" s="34">
        <v>15074181.51</v>
      </c>
      <c r="G65" s="19" t="s">
        <v>427</v>
      </c>
      <c r="H65" s="35" t="s">
        <v>433</v>
      </c>
      <c r="I65" s="20" t="s">
        <v>429</v>
      </c>
      <c r="J65" s="20" t="s">
        <v>430</v>
      </c>
      <c r="K65" s="21"/>
    </row>
    <row r="66" spans="1:11" ht="15" x14ac:dyDescent="0.25">
      <c r="A66" s="19">
        <v>63</v>
      </c>
      <c r="B66" s="33">
        <v>2334941</v>
      </c>
      <c r="C66" s="33">
        <v>1</v>
      </c>
      <c r="D66" s="33" t="s">
        <v>441</v>
      </c>
      <c r="E66" s="33" t="s">
        <v>426</v>
      </c>
      <c r="F66" s="34">
        <v>19661900.140000001</v>
      </c>
      <c r="G66" s="19" t="s">
        <v>427</v>
      </c>
      <c r="H66" s="35" t="s">
        <v>433</v>
      </c>
      <c r="I66" s="20" t="s">
        <v>429</v>
      </c>
      <c r="J66" s="20" t="s">
        <v>430</v>
      </c>
      <c r="K66" s="21"/>
    </row>
    <row r="67" spans="1:11" ht="15" x14ac:dyDescent="0.25">
      <c r="A67" s="32">
        <v>64</v>
      </c>
      <c r="B67" s="33">
        <v>2565626</v>
      </c>
      <c r="C67" s="33">
        <v>1</v>
      </c>
      <c r="D67" s="33" t="s">
        <v>425</v>
      </c>
      <c r="E67" s="33" t="s">
        <v>426</v>
      </c>
      <c r="F67" s="34">
        <v>10366832.23</v>
      </c>
      <c r="G67" s="19" t="s">
        <v>427</v>
      </c>
      <c r="H67" s="35" t="s">
        <v>433</v>
      </c>
      <c r="I67" s="20" t="s">
        <v>429</v>
      </c>
      <c r="J67" s="20" t="s">
        <v>430</v>
      </c>
      <c r="K67" s="21"/>
    </row>
    <row r="68" spans="1:11" ht="15" x14ac:dyDescent="0.25">
      <c r="A68" s="32">
        <v>65</v>
      </c>
      <c r="B68" s="33">
        <v>2194905</v>
      </c>
      <c r="C68" s="33">
        <v>1</v>
      </c>
      <c r="D68" s="33" t="s">
        <v>425</v>
      </c>
      <c r="E68" s="33" t="s">
        <v>426</v>
      </c>
      <c r="F68" s="34">
        <v>6862878.5199999996</v>
      </c>
      <c r="G68" s="19" t="s">
        <v>427</v>
      </c>
      <c r="H68" s="19" t="s">
        <v>428</v>
      </c>
      <c r="I68" s="20" t="s">
        <v>429</v>
      </c>
      <c r="J68" s="20" t="s">
        <v>430</v>
      </c>
      <c r="K68" s="21"/>
    </row>
    <row r="69" spans="1:11" ht="15" x14ac:dyDescent="0.25">
      <c r="A69" s="32">
        <v>66</v>
      </c>
      <c r="B69" s="33">
        <v>2590285</v>
      </c>
      <c r="C69" s="33">
        <v>1</v>
      </c>
      <c r="D69" s="33" t="s">
        <v>425</v>
      </c>
      <c r="E69" s="33" t="s">
        <v>426</v>
      </c>
      <c r="F69" s="34">
        <v>16240800.890000001</v>
      </c>
      <c r="G69" s="19" t="s">
        <v>427</v>
      </c>
      <c r="H69" s="19" t="s">
        <v>428</v>
      </c>
      <c r="I69" s="20" t="s">
        <v>429</v>
      </c>
      <c r="J69" s="20" t="s">
        <v>430</v>
      </c>
      <c r="K69" s="21"/>
    </row>
    <row r="70" spans="1:11" ht="15" x14ac:dyDescent="0.25">
      <c r="A70" s="32">
        <v>67</v>
      </c>
      <c r="B70" s="33">
        <v>2526625</v>
      </c>
      <c r="C70" s="33">
        <v>1</v>
      </c>
      <c r="D70" s="33" t="s">
        <v>425</v>
      </c>
      <c r="E70" s="33" t="s">
        <v>426</v>
      </c>
      <c r="F70" s="34">
        <v>39635008.32</v>
      </c>
      <c r="G70" s="19" t="s">
        <v>427</v>
      </c>
      <c r="H70" s="19" t="s">
        <v>428</v>
      </c>
      <c r="I70" s="20" t="s">
        <v>429</v>
      </c>
      <c r="J70" s="20" t="s">
        <v>430</v>
      </c>
      <c r="K70" s="21"/>
    </row>
    <row r="71" spans="1:11" ht="15" x14ac:dyDescent="0.25">
      <c r="A71" s="19">
        <v>68</v>
      </c>
      <c r="B71" s="33">
        <v>2388403</v>
      </c>
      <c r="C71" s="33">
        <v>1</v>
      </c>
      <c r="D71" s="33" t="s">
        <v>425</v>
      </c>
      <c r="E71" s="33" t="s">
        <v>426</v>
      </c>
      <c r="F71" s="34">
        <v>4909304.41</v>
      </c>
      <c r="G71" s="19" t="s">
        <v>427</v>
      </c>
      <c r="H71" s="35" t="s">
        <v>433</v>
      </c>
      <c r="I71" s="20" t="s">
        <v>429</v>
      </c>
      <c r="J71" s="20" t="s">
        <v>430</v>
      </c>
      <c r="K71" s="21"/>
    </row>
    <row r="72" spans="1:11" ht="15" x14ac:dyDescent="0.25">
      <c r="A72" s="19">
        <v>69</v>
      </c>
      <c r="B72" s="33">
        <v>2466388</v>
      </c>
      <c r="C72" s="33">
        <v>1</v>
      </c>
      <c r="D72" s="33" t="s">
        <v>425</v>
      </c>
      <c r="E72" s="33" t="s">
        <v>426</v>
      </c>
      <c r="F72" s="34">
        <v>12445021.119999999</v>
      </c>
      <c r="G72" s="19" t="s">
        <v>427</v>
      </c>
      <c r="H72" s="19" t="s">
        <v>428</v>
      </c>
      <c r="I72" s="20" t="s">
        <v>429</v>
      </c>
      <c r="J72" s="20" t="s">
        <v>430</v>
      </c>
      <c r="K72" s="21"/>
    </row>
    <row r="73" spans="1:11" ht="15" x14ac:dyDescent="0.25">
      <c r="A73" s="19">
        <v>70</v>
      </c>
      <c r="B73" s="33">
        <v>2586113</v>
      </c>
      <c r="C73" s="33">
        <v>1</v>
      </c>
      <c r="D73" s="33" t="s">
        <v>425</v>
      </c>
      <c r="E73" s="33" t="s">
        <v>426</v>
      </c>
      <c r="F73" s="34">
        <v>6821361.6200000001</v>
      </c>
      <c r="G73" s="19" t="s">
        <v>427</v>
      </c>
      <c r="H73" s="35" t="s">
        <v>433</v>
      </c>
      <c r="I73" s="20" t="s">
        <v>429</v>
      </c>
      <c r="J73" s="20" t="s">
        <v>430</v>
      </c>
      <c r="K73" s="21"/>
    </row>
    <row r="74" spans="1:11" ht="15" x14ac:dyDescent="0.25">
      <c r="A74" s="19">
        <v>71</v>
      </c>
      <c r="B74" s="33">
        <v>2560087</v>
      </c>
      <c r="C74" s="36">
        <v>1</v>
      </c>
      <c r="D74" s="33" t="s">
        <v>432</v>
      </c>
      <c r="E74" s="33" t="s">
        <v>432</v>
      </c>
      <c r="F74" s="34">
        <v>15000012.99</v>
      </c>
      <c r="G74" s="19" t="s">
        <v>427</v>
      </c>
      <c r="H74" s="19" t="s">
        <v>428</v>
      </c>
      <c r="I74" s="20" t="s">
        <v>429</v>
      </c>
      <c r="J74" s="20" t="s">
        <v>430</v>
      </c>
      <c r="K74" s="21"/>
    </row>
    <row r="75" spans="1:11" ht="15" x14ac:dyDescent="0.25">
      <c r="A75" s="19">
        <v>72</v>
      </c>
      <c r="B75" s="33">
        <v>2511926</v>
      </c>
      <c r="C75" s="36">
        <v>3</v>
      </c>
      <c r="D75" s="33" t="s">
        <v>432</v>
      </c>
      <c r="E75" s="33" t="s">
        <v>432</v>
      </c>
      <c r="F75" s="34">
        <v>9707225.2400000002</v>
      </c>
      <c r="G75" s="19" t="s">
        <v>427</v>
      </c>
      <c r="H75" s="19" t="s">
        <v>428</v>
      </c>
      <c r="I75" s="20" t="s">
        <v>429</v>
      </c>
      <c r="J75" s="20" t="s">
        <v>430</v>
      </c>
      <c r="K75" s="21"/>
    </row>
    <row r="76" spans="1:11" ht="15" x14ac:dyDescent="0.25">
      <c r="A76" s="32">
        <v>73</v>
      </c>
      <c r="B76" s="33">
        <v>2541316</v>
      </c>
      <c r="C76" s="36">
        <v>1</v>
      </c>
      <c r="D76" s="33" t="s">
        <v>432</v>
      </c>
      <c r="E76" s="33" t="s">
        <v>432</v>
      </c>
      <c r="F76" s="34">
        <v>20268863.510000002</v>
      </c>
      <c r="G76" s="19" t="s">
        <v>427</v>
      </c>
      <c r="H76" s="35" t="s">
        <v>433</v>
      </c>
      <c r="I76" s="20" t="s">
        <v>429</v>
      </c>
      <c r="J76" s="20" t="s">
        <v>430</v>
      </c>
      <c r="K76" s="21"/>
    </row>
    <row r="77" spans="1:11" ht="15" x14ac:dyDescent="0.25">
      <c r="A77" s="32">
        <v>74</v>
      </c>
      <c r="B77" s="33">
        <v>2607512</v>
      </c>
      <c r="C77" s="36">
        <v>1</v>
      </c>
      <c r="D77" s="33" t="s">
        <v>432</v>
      </c>
      <c r="E77" s="33" t="s">
        <v>432</v>
      </c>
      <c r="F77" s="34">
        <v>9932510.2599999998</v>
      </c>
      <c r="G77" s="19" t="s">
        <v>427</v>
      </c>
      <c r="H77" s="19" t="s">
        <v>428</v>
      </c>
      <c r="I77" s="20" t="s">
        <v>429</v>
      </c>
      <c r="J77" s="20" t="s">
        <v>430</v>
      </c>
      <c r="K77" s="21"/>
    </row>
    <row r="78" spans="1:11" ht="15" x14ac:dyDescent="0.25">
      <c r="A78" s="32">
        <v>75</v>
      </c>
      <c r="B78" s="33">
        <v>2605933</v>
      </c>
      <c r="C78" s="36">
        <v>1</v>
      </c>
      <c r="D78" s="33" t="s">
        <v>432</v>
      </c>
      <c r="E78" s="33" t="s">
        <v>432</v>
      </c>
      <c r="F78" s="34">
        <v>14738459.15</v>
      </c>
      <c r="G78" s="19" t="s">
        <v>427</v>
      </c>
      <c r="H78" s="35" t="s">
        <v>433</v>
      </c>
      <c r="I78" s="20" t="s">
        <v>429</v>
      </c>
      <c r="J78" s="20" t="s">
        <v>430</v>
      </c>
      <c r="K78" s="21"/>
    </row>
    <row r="79" spans="1:11" ht="15" x14ac:dyDescent="0.25">
      <c r="A79" s="32">
        <v>76</v>
      </c>
      <c r="B79" s="33">
        <v>2545618</v>
      </c>
      <c r="C79" s="36">
        <v>1</v>
      </c>
      <c r="D79" s="33" t="s">
        <v>432</v>
      </c>
      <c r="E79" s="33" t="s">
        <v>432</v>
      </c>
      <c r="F79" s="34">
        <v>12928939.34</v>
      </c>
      <c r="G79" s="19" t="s">
        <v>427</v>
      </c>
      <c r="H79" s="19" t="s">
        <v>428</v>
      </c>
      <c r="I79" s="20" t="s">
        <v>429</v>
      </c>
      <c r="J79" s="20" t="s">
        <v>430</v>
      </c>
      <c r="K79" s="21"/>
    </row>
    <row r="80" spans="1:11" ht="15" x14ac:dyDescent="0.25">
      <c r="A80" s="19">
        <v>77</v>
      </c>
      <c r="B80" s="33">
        <v>2577558</v>
      </c>
      <c r="C80" s="36">
        <v>1</v>
      </c>
      <c r="D80" s="33" t="s">
        <v>432</v>
      </c>
      <c r="E80" s="33" t="s">
        <v>432</v>
      </c>
      <c r="F80" s="34">
        <v>3514944.38</v>
      </c>
      <c r="G80" s="19" t="s">
        <v>427</v>
      </c>
      <c r="H80" s="35" t="s">
        <v>433</v>
      </c>
      <c r="I80" s="20" t="s">
        <v>429</v>
      </c>
      <c r="J80" s="20" t="s">
        <v>430</v>
      </c>
      <c r="K80" s="21"/>
    </row>
    <row r="81" spans="1:11" ht="15" x14ac:dyDescent="0.25">
      <c r="A81" s="19">
        <v>78</v>
      </c>
      <c r="B81" s="33">
        <v>2573282</v>
      </c>
      <c r="C81" s="36">
        <v>1</v>
      </c>
      <c r="D81" s="33" t="s">
        <v>432</v>
      </c>
      <c r="E81" s="33" t="s">
        <v>432</v>
      </c>
      <c r="F81" s="34">
        <v>2765365.22</v>
      </c>
      <c r="G81" s="19" t="s">
        <v>427</v>
      </c>
      <c r="H81" s="35" t="s">
        <v>433</v>
      </c>
      <c r="I81" s="20" t="s">
        <v>429</v>
      </c>
      <c r="J81" s="20" t="s">
        <v>430</v>
      </c>
      <c r="K81" s="21"/>
    </row>
    <row r="82" spans="1:11" ht="15" x14ac:dyDescent="0.25">
      <c r="A82" s="19">
        <v>79</v>
      </c>
      <c r="B82" s="33">
        <v>2358513</v>
      </c>
      <c r="C82" s="33">
        <v>1</v>
      </c>
      <c r="D82" s="33" t="s">
        <v>442</v>
      </c>
      <c r="E82" s="33" t="s">
        <v>432</v>
      </c>
      <c r="F82" s="34">
        <v>12686736.17</v>
      </c>
      <c r="G82" s="19" t="s">
        <v>427</v>
      </c>
      <c r="H82" s="35" t="s">
        <v>433</v>
      </c>
      <c r="I82" s="20" t="s">
        <v>429</v>
      </c>
      <c r="J82" s="20" t="s">
        <v>430</v>
      </c>
      <c r="K82" s="21"/>
    </row>
    <row r="83" spans="1:11" ht="15" x14ac:dyDescent="0.25">
      <c r="A83" s="19">
        <v>80</v>
      </c>
      <c r="B83" s="33">
        <v>2465538</v>
      </c>
      <c r="C83" s="33">
        <v>1</v>
      </c>
      <c r="D83" s="33" t="s">
        <v>435</v>
      </c>
      <c r="E83" s="33" t="s">
        <v>432</v>
      </c>
      <c r="F83" s="34">
        <v>9580895.9499999993</v>
      </c>
      <c r="G83" s="19" t="s">
        <v>427</v>
      </c>
      <c r="H83" s="35" t="s">
        <v>433</v>
      </c>
      <c r="I83" s="20" t="s">
        <v>429</v>
      </c>
      <c r="J83" s="20" t="s">
        <v>430</v>
      </c>
      <c r="K83" s="21"/>
    </row>
    <row r="84" spans="1:11" ht="15" x14ac:dyDescent="0.25">
      <c r="A84" s="19">
        <v>81</v>
      </c>
      <c r="B84" s="33">
        <v>2232337</v>
      </c>
      <c r="C84" s="33">
        <v>1</v>
      </c>
      <c r="D84" s="33" t="s">
        <v>435</v>
      </c>
      <c r="E84" s="33" t="s">
        <v>432</v>
      </c>
      <c r="F84" s="34">
        <v>6639254.3600000003</v>
      </c>
      <c r="G84" s="19" t="s">
        <v>427</v>
      </c>
      <c r="H84" s="35" t="s">
        <v>433</v>
      </c>
      <c r="I84" s="20" t="s">
        <v>429</v>
      </c>
      <c r="J84" s="20" t="s">
        <v>430</v>
      </c>
      <c r="K84" s="21"/>
    </row>
    <row r="85" spans="1:11" ht="15" x14ac:dyDescent="0.25">
      <c r="A85" s="32">
        <v>82</v>
      </c>
      <c r="B85" s="33">
        <v>2464274</v>
      </c>
      <c r="C85" s="33">
        <v>1</v>
      </c>
      <c r="D85" s="33" t="s">
        <v>437</v>
      </c>
      <c r="E85" s="33" t="s">
        <v>426</v>
      </c>
      <c r="F85" s="34">
        <v>3138114.79</v>
      </c>
      <c r="G85" s="19" t="s">
        <v>427</v>
      </c>
      <c r="H85" s="35" t="s">
        <v>433</v>
      </c>
      <c r="I85" s="20" t="s">
        <v>429</v>
      </c>
      <c r="J85" s="20" t="s">
        <v>430</v>
      </c>
      <c r="K85" s="21"/>
    </row>
    <row r="86" spans="1:11" ht="15" x14ac:dyDescent="0.25">
      <c r="A86" s="32">
        <v>83</v>
      </c>
      <c r="B86" s="33">
        <v>2458001</v>
      </c>
      <c r="C86" s="33">
        <v>1</v>
      </c>
      <c r="D86" s="33" t="s">
        <v>435</v>
      </c>
      <c r="E86" s="33" t="s">
        <v>432</v>
      </c>
      <c r="F86" s="34">
        <v>8528020.6799999997</v>
      </c>
      <c r="G86" s="19" t="s">
        <v>427</v>
      </c>
      <c r="H86" s="35" t="s">
        <v>433</v>
      </c>
      <c r="I86" s="20" t="s">
        <v>429</v>
      </c>
      <c r="J86" s="20" t="s">
        <v>430</v>
      </c>
      <c r="K86" s="21"/>
    </row>
    <row r="87" spans="1:11" ht="15" x14ac:dyDescent="0.25">
      <c r="A87" s="32">
        <v>84</v>
      </c>
      <c r="B87" s="33">
        <v>2250308</v>
      </c>
      <c r="C87" s="33">
        <v>1</v>
      </c>
      <c r="D87" s="33" t="s">
        <v>438</v>
      </c>
      <c r="E87" s="33" t="s">
        <v>426</v>
      </c>
      <c r="F87" s="34">
        <v>9045104.9600000009</v>
      </c>
      <c r="G87" s="19" t="s">
        <v>427</v>
      </c>
      <c r="H87" s="35" t="s">
        <v>433</v>
      </c>
      <c r="I87" s="20" t="s">
        <v>429</v>
      </c>
      <c r="J87" s="20" t="s">
        <v>430</v>
      </c>
      <c r="K87" s="21"/>
    </row>
    <row r="88" spans="1:11" ht="15" x14ac:dyDescent="0.25">
      <c r="A88" s="32">
        <v>85</v>
      </c>
      <c r="B88" s="33">
        <v>2490906</v>
      </c>
      <c r="C88" s="33">
        <v>4</v>
      </c>
      <c r="D88" s="33" t="s">
        <v>435</v>
      </c>
      <c r="E88" s="33" t="s">
        <v>426</v>
      </c>
      <c r="F88" s="34">
        <v>22060458.93</v>
      </c>
      <c r="G88" s="19" t="s">
        <v>427</v>
      </c>
      <c r="H88" s="35" t="s">
        <v>431</v>
      </c>
      <c r="I88" s="20" t="s">
        <v>429</v>
      </c>
      <c r="J88" s="20" t="s">
        <v>430</v>
      </c>
      <c r="K88" s="21"/>
    </row>
    <row r="89" spans="1:11" ht="15" x14ac:dyDescent="0.25">
      <c r="A89" s="19">
        <v>86</v>
      </c>
      <c r="B89" s="33">
        <v>2467405</v>
      </c>
      <c r="C89" s="33">
        <v>1</v>
      </c>
      <c r="D89" s="33" t="s">
        <v>425</v>
      </c>
      <c r="E89" s="33" t="s">
        <v>426</v>
      </c>
      <c r="F89" s="34">
        <v>2919590.27</v>
      </c>
      <c r="G89" s="19" t="s">
        <v>427</v>
      </c>
      <c r="H89" s="35" t="s">
        <v>433</v>
      </c>
      <c r="I89" s="20" t="s">
        <v>429</v>
      </c>
      <c r="J89" s="20" t="s">
        <v>430</v>
      </c>
      <c r="K89" s="21"/>
    </row>
    <row r="90" spans="1:11" ht="15" x14ac:dyDescent="0.25">
      <c r="A90" s="19">
        <v>87</v>
      </c>
      <c r="B90" s="33">
        <v>2447565</v>
      </c>
      <c r="C90" s="33">
        <v>1</v>
      </c>
      <c r="D90" s="33" t="s">
        <v>425</v>
      </c>
      <c r="E90" s="33" t="s">
        <v>426</v>
      </c>
      <c r="F90" s="34">
        <v>2723364.95</v>
      </c>
      <c r="G90" s="19" t="s">
        <v>427</v>
      </c>
      <c r="H90" s="35" t="s">
        <v>433</v>
      </c>
      <c r="I90" s="20" t="s">
        <v>429</v>
      </c>
      <c r="J90" s="20" t="s">
        <v>430</v>
      </c>
      <c r="K90" s="21"/>
    </row>
    <row r="91" spans="1:11" ht="15" x14ac:dyDescent="0.25">
      <c r="A91" s="19">
        <v>88</v>
      </c>
      <c r="B91" s="33">
        <v>2209753</v>
      </c>
      <c r="C91" s="33">
        <v>1</v>
      </c>
      <c r="D91" s="33" t="s">
        <v>425</v>
      </c>
      <c r="E91" s="33" t="s">
        <v>426</v>
      </c>
      <c r="F91" s="34">
        <v>5113654.2300000004</v>
      </c>
      <c r="G91" s="19" t="s">
        <v>427</v>
      </c>
      <c r="H91" s="35" t="s">
        <v>433</v>
      </c>
      <c r="I91" s="20" t="s">
        <v>429</v>
      </c>
      <c r="J91" s="20" t="s">
        <v>430</v>
      </c>
      <c r="K91" s="21"/>
    </row>
    <row r="92" spans="1:11" ht="15" x14ac:dyDescent="0.25">
      <c r="A92" s="19">
        <v>89</v>
      </c>
      <c r="B92" s="33">
        <v>2339740</v>
      </c>
      <c r="C92" s="33">
        <v>1</v>
      </c>
      <c r="D92" s="33" t="s">
        <v>432</v>
      </c>
      <c r="E92" s="33" t="s">
        <v>432</v>
      </c>
      <c r="F92" s="34">
        <v>3762169.45</v>
      </c>
      <c r="G92" s="19" t="s">
        <v>427</v>
      </c>
      <c r="H92" s="19" t="s">
        <v>428</v>
      </c>
      <c r="I92" s="20" t="s">
        <v>429</v>
      </c>
      <c r="J92" s="20" t="s">
        <v>430</v>
      </c>
      <c r="K92" s="21"/>
    </row>
    <row r="93" spans="1:11" ht="15" x14ac:dyDescent="0.25">
      <c r="A93" s="19">
        <v>90</v>
      </c>
      <c r="B93" s="33">
        <v>2451624</v>
      </c>
      <c r="C93" s="33">
        <v>1</v>
      </c>
      <c r="D93" s="33" t="s">
        <v>432</v>
      </c>
      <c r="E93" s="33" t="s">
        <v>432</v>
      </c>
      <c r="F93" s="34">
        <v>12845133.630000001</v>
      </c>
      <c r="G93" s="19" t="s">
        <v>427</v>
      </c>
      <c r="H93" s="35" t="s">
        <v>433</v>
      </c>
      <c r="I93" s="20" t="s">
        <v>429</v>
      </c>
      <c r="J93" s="20" t="s">
        <v>430</v>
      </c>
      <c r="K93" s="21"/>
    </row>
    <row r="94" spans="1:11" ht="15" x14ac:dyDescent="0.25">
      <c r="A94" s="32">
        <v>91</v>
      </c>
      <c r="B94" s="33">
        <v>2264645</v>
      </c>
      <c r="C94" s="36">
        <v>1</v>
      </c>
      <c r="D94" s="33" t="s">
        <v>432</v>
      </c>
      <c r="E94" s="33" t="s">
        <v>432</v>
      </c>
      <c r="F94" s="34">
        <v>6409096.3099999996</v>
      </c>
      <c r="G94" s="19" t="s">
        <v>427</v>
      </c>
      <c r="H94" s="19" t="s">
        <v>428</v>
      </c>
      <c r="I94" s="20" t="s">
        <v>429</v>
      </c>
      <c r="J94" s="20" t="s">
        <v>430</v>
      </c>
      <c r="K94" s="21"/>
    </row>
    <row r="95" spans="1:11" ht="15" x14ac:dyDescent="0.25">
      <c r="A95" s="32">
        <v>92</v>
      </c>
      <c r="B95" s="33">
        <v>2280918</v>
      </c>
      <c r="C95" s="36">
        <v>2</v>
      </c>
      <c r="D95" s="33" t="s">
        <v>432</v>
      </c>
      <c r="E95" s="33" t="s">
        <v>432</v>
      </c>
      <c r="F95" s="34">
        <v>10762245.65</v>
      </c>
      <c r="G95" s="19" t="s">
        <v>427</v>
      </c>
      <c r="H95" s="35" t="s">
        <v>433</v>
      </c>
      <c r="I95" s="20" t="s">
        <v>429</v>
      </c>
      <c r="J95" s="20" t="s">
        <v>430</v>
      </c>
      <c r="K95" s="21"/>
    </row>
    <row r="96" spans="1:11" ht="15" x14ac:dyDescent="0.25">
      <c r="A96" s="32">
        <v>93</v>
      </c>
      <c r="B96" s="33">
        <v>2585977</v>
      </c>
      <c r="C96" s="36">
        <v>1</v>
      </c>
      <c r="D96" s="33" t="s">
        <v>432</v>
      </c>
      <c r="E96" s="33" t="s">
        <v>432</v>
      </c>
      <c r="F96" s="34">
        <v>6737622.0599999996</v>
      </c>
      <c r="G96" s="19" t="s">
        <v>427</v>
      </c>
      <c r="H96" s="19" t="s">
        <v>428</v>
      </c>
      <c r="I96" s="20" t="s">
        <v>429</v>
      </c>
      <c r="J96" s="20" t="s">
        <v>430</v>
      </c>
      <c r="K96" s="21"/>
    </row>
    <row r="97" spans="1:11" ht="15" x14ac:dyDescent="0.25">
      <c r="A97" s="32">
        <v>94</v>
      </c>
      <c r="B97" s="33">
        <v>2285559</v>
      </c>
      <c r="C97" s="33">
        <v>1</v>
      </c>
      <c r="D97" s="33" t="s">
        <v>438</v>
      </c>
      <c r="E97" s="33" t="s">
        <v>426</v>
      </c>
      <c r="F97" s="34">
        <v>5255891.8099999996</v>
      </c>
      <c r="G97" s="19" t="s">
        <v>427</v>
      </c>
      <c r="H97" s="35" t="s">
        <v>433</v>
      </c>
      <c r="I97" s="20" t="s">
        <v>429</v>
      </c>
      <c r="J97" s="20" t="s">
        <v>430</v>
      </c>
      <c r="K97" s="21"/>
    </row>
    <row r="98" spans="1:11" ht="15" x14ac:dyDescent="0.25">
      <c r="A98" s="19">
        <v>95</v>
      </c>
      <c r="B98" s="33">
        <v>2513152</v>
      </c>
      <c r="C98" s="33">
        <v>1</v>
      </c>
      <c r="D98" s="33" t="s">
        <v>435</v>
      </c>
      <c r="E98" s="33" t="s">
        <v>432</v>
      </c>
      <c r="F98" s="34">
        <v>3989244.79</v>
      </c>
      <c r="G98" s="19" t="s">
        <v>427</v>
      </c>
      <c r="H98" s="35" t="s">
        <v>433</v>
      </c>
      <c r="I98" s="20" t="s">
        <v>429</v>
      </c>
      <c r="J98" s="20" t="s">
        <v>430</v>
      </c>
      <c r="K98" s="21"/>
    </row>
    <row r="99" spans="1:11" ht="15" x14ac:dyDescent="0.25">
      <c r="A99" s="19">
        <v>96</v>
      </c>
      <c r="B99" s="33">
        <v>2166247</v>
      </c>
      <c r="C99" s="33">
        <v>1</v>
      </c>
      <c r="D99" s="33" t="s">
        <v>434</v>
      </c>
      <c r="E99" s="33" t="s">
        <v>432</v>
      </c>
      <c r="F99" s="34">
        <v>14029893.630000001</v>
      </c>
      <c r="G99" s="19" t="s">
        <v>427</v>
      </c>
      <c r="H99" s="35" t="s">
        <v>433</v>
      </c>
      <c r="I99" s="20" t="s">
        <v>429</v>
      </c>
      <c r="J99" s="20" t="s">
        <v>430</v>
      </c>
      <c r="K99" s="21"/>
    </row>
    <row r="100" spans="1:11" ht="15" x14ac:dyDescent="0.25">
      <c r="A100" s="19">
        <v>97</v>
      </c>
      <c r="B100" s="33">
        <v>2302730</v>
      </c>
      <c r="C100" s="33">
        <v>1</v>
      </c>
      <c r="D100" s="33" t="s">
        <v>434</v>
      </c>
      <c r="E100" s="33" t="s">
        <v>432</v>
      </c>
      <c r="F100" s="34">
        <v>4969986.5599999996</v>
      </c>
      <c r="G100" s="19" t="s">
        <v>427</v>
      </c>
      <c r="H100" s="35" t="s">
        <v>433</v>
      </c>
      <c r="I100" s="20" t="s">
        <v>429</v>
      </c>
      <c r="J100" s="20" t="s">
        <v>430</v>
      </c>
      <c r="K100" s="21"/>
    </row>
    <row r="101" spans="1:11" ht="15" x14ac:dyDescent="0.25">
      <c r="A101" s="19">
        <v>98</v>
      </c>
      <c r="B101" s="33">
        <v>2217384</v>
      </c>
      <c r="C101" s="33">
        <v>1</v>
      </c>
      <c r="D101" s="33" t="s">
        <v>425</v>
      </c>
      <c r="E101" s="33" t="s">
        <v>426</v>
      </c>
      <c r="F101" s="34">
        <v>18779601.41</v>
      </c>
      <c r="G101" s="19" t="s">
        <v>427</v>
      </c>
      <c r="H101" s="35" t="s">
        <v>433</v>
      </c>
      <c r="I101" s="20" t="s">
        <v>429</v>
      </c>
      <c r="J101" s="20" t="s">
        <v>430</v>
      </c>
      <c r="K101" s="21"/>
    </row>
    <row r="102" spans="1:11" ht="15" x14ac:dyDescent="0.25">
      <c r="A102" s="19">
        <v>99</v>
      </c>
      <c r="B102" s="33">
        <v>2453436</v>
      </c>
      <c r="C102" s="33">
        <v>1</v>
      </c>
      <c r="D102" s="33" t="s">
        <v>425</v>
      </c>
      <c r="E102" s="33" t="s">
        <v>426</v>
      </c>
      <c r="F102" s="34">
        <v>9741294.5999999996</v>
      </c>
      <c r="G102" s="19" t="s">
        <v>427</v>
      </c>
      <c r="H102" s="19" t="s">
        <v>428</v>
      </c>
      <c r="I102" s="20" t="s">
        <v>429</v>
      </c>
      <c r="J102" s="20" t="s">
        <v>430</v>
      </c>
      <c r="K102" s="21"/>
    </row>
    <row r="103" spans="1:11" ht="15" x14ac:dyDescent="0.25">
      <c r="A103" s="32">
        <v>100</v>
      </c>
      <c r="B103" s="33">
        <v>2238610</v>
      </c>
      <c r="C103" s="33">
        <v>1</v>
      </c>
      <c r="D103" s="33" t="s">
        <v>425</v>
      </c>
      <c r="E103" s="33" t="s">
        <v>426</v>
      </c>
      <c r="F103" s="34">
        <v>5331328.2300000004</v>
      </c>
      <c r="G103" s="19" t="s">
        <v>427</v>
      </c>
      <c r="H103" s="35" t="s">
        <v>433</v>
      </c>
      <c r="I103" s="20" t="s">
        <v>429</v>
      </c>
      <c r="J103" s="20" t="s">
        <v>430</v>
      </c>
      <c r="K103" s="21"/>
    </row>
    <row r="104" spans="1:11" ht="15" x14ac:dyDescent="0.25">
      <c r="A104" s="32">
        <v>101</v>
      </c>
      <c r="B104" s="33">
        <v>2226399</v>
      </c>
      <c r="C104" s="33">
        <v>1</v>
      </c>
      <c r="D104" s="33" t="s">
        <v>425</v>
      </c>
      <c r="E104" s="33" t="s">
        <v>426</v>
      </c>
      <c r="F104" s="34">
        <v>14821620.449999999</v>
      </c>
      <c r="G104" s="19" t="s">
        <v>427</v>
      </c>
      <c r="H104" s="35" t="s">
        <v>433</v>
      </c>
      <c r="I104" s="20" t="s">
        <v>429</v>
      </c>
      <c r="J104" s="20" t="s">
        <v>430</v>
      </c>
      <c r="K104" s="21"/>
    </row>
    <row r="105" spans="1:11" ht="15" x14ac:dyDescent="0.25">
      <c r="A105" s="32">
        <v>102</v>
      </c>
      <c r="B105" s="33">
        <v>2572476</v>
      </c>
      <c r="C105" s="33">
        <v>1</v>
      </c>
      <c r="D105" s="33" t="s">
        <v>425</v>
      </c>
      <c r="E105" s="33" t="s">
        <v>426</v>
      </c>
      <c r="F105" s="34">
        <v>14816626.75</v>
      </c>
      <c r="G105" s="19" t="s">
        <v>427</v>
      </c>
      <c r="H105" s="35" t="s">
        <v>433</v>
      </c>
      <c r="I105" s="20" t="s">
        <v>429</v>
      </c>
      <c r="J105" s="20" t="s">
        <v>430</v>
      </c>
      <c r="K105" s="21"/>
    </row>
    <row r="106" spans="1:11" ht="15" x14ac:dyDescent="0.25">
      <c r="A106" s="32">
        <v>103</v>
      </c>
      <c r="B106" s="33">
        <v>2412395</v>
      </c>
      <c r="C106" s="33">
        <v>2</v>
      </c>
      <c r="D106" s="33" t="s">
        <v>425</v>
      </c>
      <c r="E106" s="33" t="s">
        <v>426</v>
      </c>
      <c r="F106" s="34">
        <v>8183945.8899999997</v>
      </c>
      <c r="G106" s="19" t="s">
        <v>427</v>
      </c>
      <c r="H106" s="19" t="s">
        <v>428</v>
      </c>
      <c r="I106" s="20" t="s">
        <v>429</v>
      </c>
      <c r="J106" s="20" t="s">
        <v>430</v>
      </c>
      <c r="K106" s="21"/>
    </row>
    <row r="107" spans="1:11" ht="15" x14ac:dyDescent="0.25">
      <c r="A107" s="19">
        <v>104</v>
      </c>
      <c r="B107" s="33">
        <v>2308335</v>
      </c>
      <c r="C107" s="33">
        <v>1</v>
      </c>
      <c r="D107" s="33" t="s">
        <v>425</v>
      </c>
      <c r="E107" s="33" t="s">
        <v>426</v>
      </c>
      <c r="F107" s="34">
        <v>13973944.49</v>
      </c>
      <c r="G107" s="19" t="s">
        <v>427</v>
      </c>
      <c r="H107" s="19" t="s">
        <v>428</v>
      </c>
      <c r="I107" s="20" t="s">
        <v>429</v>
      </c>
      <c r="J107" s="20" t="s">
        <v>430</v>
      </c>
      <c r="K107" s="21"/>
    </row>
    <row r="108" spans="1:11" ht="15" x14ac:dyDescent="0.25">
      <c r="A108" s="19">
        <v>105</v>
      </c>
      <c r="B108" s="33">
        <v>2451027</v>
      </c>
      <c r="C108" s="33">
        <v>1</v>
      </c>
      <c r="D108" s="33" t="s">
        <v>425</v>
      </c>
      <c r="E108" s="33" t="s">
        <v>426</v>
      </c>
      <c r="F108" s="34">
        <v>2617902.42</v>
      </c>
      <c r="G108" s="19" t="s">
        <v>427</v>
      </c>
      <c r="H108" s="35" t="s">
        <v>433</v>
      </c>
      <c r="I108" s="20" t="s">
        <v>429</v>
      </c>
      <c r="J108" s="20" t="s">
        <v>430</v>
      </c>
      <c r="K108" s="21"/>
    </row>
    <row r="109" spans="1:11" ht="15" x14ac:dyDescent="0.25">
      <c r="A109" s="19">
        <v>106</v>
      </c>
      <c r="B109" s="33">
        <v>2586288</v>
      </c>
      <c r="C109" s="33">
        <v>1</v>
      </c>
      <c r="D109" s="33" t="s">
        <v>425</v>
      </c>
      <c r="E109" s="33" t="s">
        <v>426</v>
      </c>
      <c r="F109" s="34">
        <v>24580623.41</v>
      </c>
      <c r="G109" s="19" t="s">
        <v>427</v>
      </c>
      <c r="H109" s="35" t="s">
        <v>433</v>
      </c>
      <c r="I109" s="20" t="s">
        <v>429</v>
      </c>
      <c r="J109" s="20" t="s">
        <v>430</v>
      </c>
      <c r="K109" s="21"/>
    </row>
    <row r="110" spans="1:11" ht="15" x14ac:dyDescent="0.25">
      <c r="A110" s="19">
        <v>107</v>
      </c>
      <c r="B110" s="33">
        <v>2226578</v>
      </c>
      <c r="C110" s="33">
        <v>1</v>
      </c>
      <c r="D110" s="33" t="s">
        <v>425</v>
      </c>
      <c r="E110" s="33" t="s">
        <v>426</v>
      </c>
      <c r="F110" s="34">
        <v>8101988.8799999999</v>
      </c>
      <c r="G110" s="19" t="s">
        <v>427</v>
      </c>
      <c r="H110" s="35" t="s">
        <v>433</v>
      </c>
      <c r="I110" s="20" t="s">
        <v>429</v>
      </c>
      <c r="J110" s="20" t="s">
        <v>430</v>
      </c>
      <c r="K110" s="21"/>
    </row>
    <row r="111" spans="1:11" ht="15" x14ac:dyDescent="0.25">
      <c r="A111" s="19">
        <v>108</v>
      </c>
      <c r="B111" s="33">
        <v>2180959</v>
      </c>
      <c r="C111" s="33">
        <v>1</v>
      </c>
      <c r="D111" s="33" t="s">
        <v>425</v>
      </c>
      <c r="E111" s="33" t="s">
        <v>426</v>
      </c>
      <c r="F111" s="34">
        <v>6694265.8399999999</v>
      </c>
      <c r="G111" s="19" t="s">
        <v>427</v>
      </c>
      <c r="H111" s="19" t="s">
        <v>428</v>
      </c>
      <c r="I111" s="20" t="s">
        <v>429</v>
      </c>
      <c r="J111" s="20" t="s">
        <v>430</v>
      </c>
      <c r="K111" s="21"/>
    </row>
    <row r="112" spans="1:11" ht="15" x14ac:dyDescent="0.25">
      <c r="A112" s="32">
        <v>109</v>
      </c>
      <c r="B112" s="33">
        <v>2341168</v>
      </c>
      <c r="C112" s="33">
        <v>1</v>
      </c>
      <c r="D112" s="33" t="s">
        <v>425</v>
      </c>
      <c r="E112" s="33" t="s">
        <v>426</v>
      </c>
      <c r="F112" s="34">
        <v>8499119</v>
      </c>
      <c r="G112" s="19" t="s">
        <v>427</v>
      </c>
      <c r="H112" s="35" t="s">
        <v>433</v>
      </c>
      <c r="I112" s="20" t="s">
        <v>429</v>
      </c>
      <c r="J112" s="20" t="s">
        <v>430</v>
      </c>
      <c r="K112" s="21"/>
    </row>
    <row r="113" spans="1:11" ht="15" x14ac:dyDescent="0.25">
      <c r="A113" s="32">
        <v>110</v>
      </c>
      <c r="B113" s="33">
        <v>2336121</v>
      </c>
      <c r="C113" s="33">
        <v>1</v>
      </c>
      <c r="D113" s="33" t="s">
        <v>425</v>
      </c>
      <c r="E113" s="33" t="s">
        <v>426</v>
      </c>
      <c r="F113" s="34">
        <v>8935663.9299999997</v>
      </c>
      <c r="G113" s="19" t="s">
        <v>427</v>
      </c>
      <c r="H113" s="19" t="s">
        <v>428</v>
      </c>
      <c r="I113" s="20" t="s">
        <v>429</v>
      </c>
      <c r="J113" s="20" t="s">
        <v>430</v>
      </c>
      <c r="K113" s="21"/>
    </row>
    <row r="114" spans="1:11" ht="15" x14ac:dyDescent="0.25">
      <c r="A114" s="32">
        <v>111</v>
      </c>
      <c r="B114" s="33">
        <v>2309943</v>
      </c>
      <c r="C114" s="33">
        <v>1</v>
      </c>
      <c r="D114" s="33" t="s">
        <v>425</v>
      </c>
      <c r="E114" s="33" t="s">
        <v>426</v>
      </c>
      <c r="F114" s="34">
        <v>6337441.2400000002</v>
      </c>
      <c r="G114" s="19" t="s">
        <v>427</v>
      </c>
      <c r="H114" s="19" t="s">
        <v>428</v>
      </c>
      <c r="I114" s="20" t="s">
        <v>429</v>
      </c>
      <c r="J114" s="20" t="s">
        <v>430</v>
      </c>
      <c r="K114" s="21"/>
    </row>
    <row r="115" spans="1:11" ht="15" x14ac:dyDescent="0.25">
      <c r="A115" s="32">
        <v>112</v>
      </c>
      <c r="B115" s="33">
        <v>2586697</v>
      </c>
      <c r="C115" s="36">
        <v>1</v>
      </c>
      <c r="D115" s="33" t="s">
        <v>432</v>
      </c>
      <c r="E115" s="33" t="s">
        <v>432</v>
      </c>
      <c r="F115" s="34">
        <v>17162770.460000001</v>
      </c>
      <c r="G115" s="19" t="s">
        <v>427</v>
      </c>
      <c r="H115" s="35" t="s">
        <v>433</v>
      </c>
      <c r="I115" s="20" t="s">
        <v>429</v>
      </c>
      <c r="J115" s="20" t="s">
        <v>430</v>
      </c>
      <c r="K115" s="21"/>
    </row>
    <row r="116" spans="1:11" ht="15" x14ac:dyDescent="0.25">
      <c r="A116" s="19">
        <v>113</v>
      </c>
      <c r="B116" s="33">
        <v>2305599</v>
      </c>
      <c r="C116" s="36">
        <v>1</v>
      </c>
      <c r="D116" s="33" t="s">
        <v>432</v>
      </c>
      <c r="E116" s="33" t="s">
        <v>432</v>
      </c>
      <c r="F116" s="34">
        <v>5727821.7300000004</v>
      </c>
      <c r="G116" s="19" t="s">
        <v>427</v>
      </c>
      <c r="H116" s="19" t="s">
        <v>428</v>
      </c>
      <c r="I116" s="20" t="s">
        <v>429</v>
      </c>
      <c r="J116" s="20" t="s">
        <v>430</v>
      </c>
      <c r="K116" s="21"/>
    </row>
    <row r="117" spans="1:11" ht="15" x14ac:dyDescent="0.25">
      <c r="A117" s="19">
        <v>114</v>
      </c>
      <c r="B117" s="33">
        <v>2343931</v>
      </c>
      <c r="C117" s="36">
        <v>1</v>
      </c>
      <c r="D117" s="33" t="s">
        <v>432</v>
      </c>
      <c r="E117" s="33" t="s">
        <v>432</v>
      </c>
      <c r="F117" s="34">
        <v>17097485.879999999</v>
      </c>
      <c r="G117" s="19" t="s">
        <v>427</v>
      </c>
      <c r="H117" s="19" t="s">
        <v>428</v>
      </c>
      <c r="I117" s="20" t="s">
        <v>429</v>
      </c>
      <c r="J117" s="20" t="s">
        <v>430</v>
      </c>
      <c r="K117" s="21"/>
    </row>
    <row r="118" spans="1:11" ht="15" x14ac:dyDescent="0.25">
      <c r="A118" s="19">
        <v>115</v>
      </c>
      <c r="B118" s="33">
        <v>2594784</v>
      </c>
      <c r="C118" s="36">
        <v>1</v>
      </c>
      <c r="D118" s="33" t="s">
        <v>432</v>
      </c>
      <c r="E118" s="33" t="s">
        <v>432</v>
      </c>
      <c r="F118" s="34">
        <v>11159815.48</v>
      </c>
      <c r="G118" s="19" t="s">
        <v>427</v>
      </c>
      <c r="H118" s="19" t="s">
        <v>428</v>
      </c>
      <c r="I118" s="20" t="s">
        <v>429</v>
      </c>
      <c r="J118" s="20" t="s">
        <v>430</v>
      </c>
      <c r="K118" s="21"/>
    </row>
    <row r="119" spans="1:11" ht="15" x14ac:dyDescent="0.25">
      <c r="A119" s="19">
        <v>116</v>
      </c>
      <c r="B119" s="33">
        <v>2323445</v>
      </c>
      <c r="C119" s="36">
        <v>1</v>
      </c>
      <c r="D119" s="33" t="s">
        <v>432</v>
      </c>
      <c r="E119" s="33" t="s">
        <v>432</v>
      </c>
      <c r="F119" s="34">
        <v>7139801.4500000002</v>
      </c>
      <c r="G119" s="19" t="s">
        <v>427</v>
      </c>
      <c r="H119" s="19" t="s">
        <v>428</v>
      </c>
      <c r="I119" s="20" t="s">
        <v>429</v>
      </c>
      <c r="J119" s="20" t="s">
        <v>430</v>
      </c>
      <c r="K119" s="21"/>
    </row>
    <row r="120" spans="1:11" ht="15" x14ac:dyDescent="0.25">
      <c r="A120" s="19">
        <v>117</v>
      </c>
      <c r="B120" s="33">
        <v>2483669</v>
      </c>
      <c r="C120" s="36">
        <v>1</v>
      </c>
      <c r="D120" s="33" t="s">
        <v>432</v>
      </c>
      <c r="E120" s="33" t="s">
        <v>432</v>
      </c>
      <c r="F120" s="34">
        <v>18268541.059999999</v>
      </c>
      <c r="G120" s="19" t="s">
        <v>427</v>
      </c>
      <c r="H120" s="19" t="s">
        <v>428</v>
      </c>
      <c r="I120" s="20" t="s">
        <v>429</v>
      </c>
      <c r="J120" s="20" t="s">
        <v>430</v>
      </c>
      <c r="K120" s="21"/>
    </row>
    <row r="121" spans="1:11" ht="15" x14ac:dyDescent="0.25">
      <c r="A121" s="32">
        <v>118</v>
      </c>
      <c r="B121" s="33">
        <v>2339304</v>
      </c>
      <c r="C121" s="36">
        <v>1</v>
      </c>
      <c r="D121" s="33" t="s">
        <v>432</v>
      </c>
      <c r="E121" s="33" t="s">
        <v>432</v>
      </c>
      <c r="F121" s="34">
        <v>6957699.2300000004</v>
      </c>
      <c r="G121" s="19" t="s">
        <v>427</v>
      </c>
      <c r="H121" s="19" t="s">
        <v>428</v>
      </c>
      <c r="I121" s="20" t="s">
        <v>429</v>
      </c>
      <c r="J121" s="20" t="s">
        <v>430</v>
      </c>
      <c r="K121" s="21"/>
    </row>
    <row r="122" spans="1:11" ht="15" x14ac:dyDescent="0.25">
      <c r="A122" s="32">
        <v>119</v>
      </c>
      <c r="B122" s="33">
        <v>2514756</v>
      </c>
      <c r="C122" s="36">
        <v>1</v>
      </c>
      <c r="D122" s="33" t="s">
        <v>432</v>
      </c>
      <c r="E122" s="33" t="s">
        <v>432</v>
      </c>
      <c r="F122" s="34">
        <v>17089764.789999999</v>
      </c>
      <c r="G122" s="19" t="s">
        <v>427</v>
      </c>
      <c r="H122" s="19" t="s">
        <v>428</v>
      </c>
      <c r="I122" s="20" t="s">
        <v>429</v>
      </c>
      <c r="J122" s="20" t="s">
        <v>430</v>
      </c>
      <c r="K122" s="21"/>
    </row>
    <row r="123" spans="1:11" ht="15" x14ac:dyDescent="0.25">
      <c r="A123" s="32">
        <v>120</v>
      </c>
      <c r="B123" s="33">
        <v>2590062</v>
      </c>
      <c r="C123" s="36">
        <v>1</v>
      </c>
      <c r="D123" s="33" t="s">
        <v>432</v>
      </c>
      <c r="E123" s="33" t="s">
        <v>432</v>
      </c>
      <c r="F123" s="34">
        <v>26320034.350000001</v>
      </c>
      <c r="G123" s="19" t="s">
        <v>427</v>
      </c>
      <c r="H123" s="35" t="s">
        <v>433</v>
      </c>
      <c r="I123" s="20" t="s">
        <v>429</v>
      </c>
      <c r="J123" s="20" t="s">
        <v>430</v>
      </c>
      <c r="K123" s="21"/>
    </row>
    <row r="124" spans="1:11" ht="15" x14ac:dyDescent="0.25">
      <c r="A124" s="32">
        <v>121</v>
      </c>
      <c r="B124" s="33">
        <v>2516878</v>
      </c>
      <c r="C124" s="33">
        <v>1</v>
      </c>
      <c r="D124" s="33" t="s">
        <v>438</v>
      </c>
      <c r="E124" s="33" t="s">
        <v>432</v>
      </c>
      <c r="F124" s="34">
        <v>22673429.390000001</v>
      </c>
      <c r="G124" s="19" t="s">
        <v>427</v>
      </c>
      <c r="H124" s="35" t="s">
        <v>433</v>
      </c>
      <c r="I124" s="20" t="s">
        <v>429</v>
      </c>
      <c r="J124" s="20" t="s">
        <v>430</v>
      </c>
      <c r="K124" s="21"/>
    </row>
    <row r="125" spans="1:11" ht="15" x14ac:dyDescent="0.25">
      <c r="A125" s="19">
        <v>122</v>
      </c>
      <c r="B125" s="33">
        <v>2250073</v>
      </c>
      <c r="C125" s="33">
        <v>1</v>
      </c>
      <c r="D125" s="33" t="s">
        <v>435</v>
      </c>
      <c r="E125" s="33" t="s">
        <v>432</v>
      </c>
      <c r="F125" s="34">
        <v>18433648.859999999</v>
      </c>
      <c r="G125" s="19" t="s">
        <v>427</v>
      </c>
      <c r="H125" s="35" t="s">
        <v>431</v>
      </c>
      <c r="I125" s="20" t="s">
        <v>429</v>
      </c>
      <c r="J125" s="20" t="s">
        <v>430</v>
      </c>
      <c r="K125" s="21"/>
    </row>
    <row r="126" spans="1:11" ht="15" x14ac:dyDescent="0.25">
      <c r="A126" s="19">
        <v>123</v>
      </c>
      <c r="B126" s="33">
        <v>2157200</v>
      </c>
      <c r="C126" s="33">
        <v>1</v>
      </c>
      <c r="D126" s="33" t="s">
        <v>443</v>
      </c>
      <c r="E126" s="33" t="s">
        <v>426</v>
      </c>
      <c r="F126" s="34">
        <v>28965646.91</v>
      </c>
      <c r="G126" s="19" t="s">
        <v>427</v>
      </c>
      <c r="H126" s="35" t="s">
        <v>433</v>
      </c>
      <c r="I126" s="20" t="s">
        <v>429</v>
      </c>
      <c r="J126" s="20" t="s">
        <v>430</v>
      </c>
      <c r="K126" s="21"/>
    </row>
    <row r="127" spans="1:11" ht="15" x14ac:dyDescent="0.25">
      <c r="A127" s="19">
        <v>124</v>
      </c>
      <c r="B127" s="33">
        <v>2495371</v>
      </c>
      <c r="C127" s="33">
        <v>1</v>
      </c>
      <c r="D127" s="33" t="s">
        <v>437</v>
      </c>
      <c r="E127" s="33" t="s">
        <v>426</v>
      </c>
      <c r="F127" s="34">
        <v>7383157.1100000003</v>
      </c>
      <c r="G127" s="19" t="s">
        <v>427</v>
      </c>
      <c r="H127" s="19" t="s">
        <v>428</v>
      </c>
      <c r="I127" s="20" t="s">
        <v>429</v>
      </c>
      <c r="J127" s="20" t="s">
        <v>430</v>
      </c>
      <c r="K127" s="21"/>
    </row>
    <row r="128" spans="1:11" ht="15" x14ac:dyDescent="0.25">
      <c r="A128" s="19">
        <v>125</v>
      </c>
      <c r="B128" s="33">
        <v>2514291</v>
      </c>
      <c r="C128" s="33">
        <v>1</v>
      </c>
      <c r="D128" s="33" t="s">
        <v>438</v>
      </c>
      <c r="E128" s="33" t="s">
        <v>426</v>
      </c>
      <c r="F128" s="34">
        <v>6564825.8799999999</v>
      </c>
      <c r="G128" s="19" t="s">
        <v>427</v>
      </c>
      <c r="H128" s="35" t="s">
        <v>433</v>
      </c>
      <c r="I128" s="20" t="s">
        <v>429</v>
      </c>
      <c r="J128" s="20" t="s">
        <v>430</v>
      </c>
      <c r="K128" s="21"/>
    </row>
    <row r="129" spans="1:11" ht="15" x14ac:dyDescent="0.25">
      <c r="A129" s="19">
        <v>126</v>
      </c>
      <c r="B129" s="33">
        <v>2301196</v>
      </c>
      <c r="C129" s="33">
        <v>1</v>
      </c>
      <c r="D129" s="33" t="s">
        <v>434</v>
      </c>
      <c r="E129" s="33" t="s">
        <v>432</v>
      </c>
      <c r="F129" s="34">
        <v>75904368.269999996</v>
      </c>
      <c r="G129" s="19" t="s">
        <v>427</v>
      </c>
      <c r="H129" s="35" t="s">
        <v>433</v>
      </c>
      <c r="I129" s="20" t="s">
        <v>429</v>
      </c>
      <c r="J129" s="20" t="s">
        <v>430</v>
      </c>
      <c r="K129" s="21"/>
    </row>
    <row r="130" spans="1:11" ht="15" x14ac:dyDescent="0.25">
      <c r="A130" s="32">
        <v>127</v>
      </c>
      <c r="B130" s="33">
        <v>2464647</v>
      </c>
      <c r="C130" s="33">
        <v>1</v>
      </c>
      <c r="D130" s="33" t="s">
        <v>425</v>
      </c>
      <c r="E130" s="33" t="s">
        <v>426</v>
      </c>
      <c r="F130" s="34">
        <v>10085034.02</v>
      </c>
      <c r="G130" s="19" t="s">
        <v>427</v>
      </c>
      <c r="H130" s="35" t="s">
        <v>433</v>
      </c>
      <c r="I130" s="20" t="s">
        <v>429</v>
      </c>
      <c r="J130" s="20" t="s">
        <v>430</v>
      </c>
      <c r="K130" s="21"/>
    </row>
    <row r="131" spans="1:11" ht="15" x14ac:dyDescent="0.25">
      <c r="A131" s="32">
        <v>128</v>
      </c>
      <c r="B131" s="33">
        <v>2194742</v>
      </c>
      <c r="C131" s="33">
        <v>1</v>
      </c>
      <c r="D131" s="33" t="s">
        <v>425</v>
      </c>
      <c r="E131" s="33" t="s">
        <v>426</v>
      </c>
      <c r="F131" s="34">
        <v>12241298.76</v>
      </c>
      <c r="G131" s="19" t="s">
        <v>427</v>
      </c>
      <c r="H131" s="19" t="s">
        <v>428</v>
      </c>
      <c r="I131" s="20" t="s">
        <v>429</v>
      </c>
      <c r="J131" s="20" t="s">
        <v>430</v>
      </c>
      <c r="K131" s="21"/>
    </row>
    <row r="132" spans="1:11" ht="15" x14ac:dyDescent="0.25">
      <c r="A132" s="32">
        <v>129</v>
      </c>
      <c r="B132" s="33">
        <v>2484051</v>
      </c>
      <c r="C132" s="33">
        <v>1</v>
      </c>
      <c r="D132" s="33" t="s">
        <v>425</v>
      </c>
      <c r="E132" s="33" t="s">
        <v>426</v>
      </c>
      <c r="F132" s="34">
        <v>6828583.4100000001</v>
      </c>
      <c r="G132" s="19" t="s">
        <v>427</v>
      </c>
      <c r="H132" s="19" t="s">
        <v>428</v>
      </c>
      <c r="I132" s="20" t="s">
        <v>429</v>
      </c>
      <c r="J132" s="20" t="s">
        <v>430</v>
      </c>
      <c r="K132" s="21"/>
    </row>
    <row r="133" spans="1:11" ht="15" x14ac:dyDescent="0.25">
      <c r="A133" s="32">
        <v>130</v>
      </c>
      <c r="B133" s="33">
        <v>2301300</v>
      </c>
      <c r="C133" s="33">
        <v>1</v>
      </c>
      <c r="D133" s="33" t="s">
        <v>425</v>
      </c>
      <c r="E133" s="33" t="s">
        <v>426</v>
      </c>
      <c r="F133" s="34">
        <v>16882419.510000002</v>
      </c>
      <c r="G133" s="19" t="s">
        <v>427</v>
      </c>
      <c r="H133" s="35" t="s">
        <v>433</v>
      </c>
      <c r="I133" s="20" t="s">
        <v>429</v>
      </c>
      <c r="J133" s="20" t="s">
        <v>430</v>
      </c>
      <c r="K133" s="21"/>
    </row>
    <row r="134" spans="1:11" ht="15" x14ac:dyDescent="0.25">
      <c r="A134" s="19">
        <v>131</v>
      </c>
      <c r="B134" s="33">
        <v>2401107</v>
      </c>
      <c r="C134" s="33">
        <v>1</v>
      </c>
      <c r="D134" s="33" t="s">
        <v>426</v>
      </c>
      <c r="E134" s="33" t="s">
        <v>426</v>
      </c>
      <c r="F134" s="34">
        <v>9504394.8800000008</v>
      </c>
      <c r="G134" s="19" t="s">
        <v>427</v>
      </c>
      <c r="H134" s="19" t="s">
        <v>428</v>
      </c>
      <c r="I134" s="20" t="s">
        <v>429</v>
      </c>
      <c r="J134" s="20" t="s">
        <v>430</v>
      </c>
      <c r="K134" s="21"/>
    </row>
    <row r="135" spans="1:11" ht="15" x14ac:dyDescent="0.25">
      <c r="A135" s="19">
        <v>132</v>
      </c>
      <c r="B135" s="33">
        <v>2565871</v>
      </c>
      <c r="C135" s="36">
        <v>1</v>
      </c>
      <c r="D135" s="33" t="s">
        <v>432</v>
      </c>
      <c r="E135" s="33" t="s">
        <v>432</v>
      </c>
      <c r="F135" s="34">
        <v>2853882.87</v>
      </c>
      <c r="G135" s="19" t="s">
        <v>427</v>
      </c>
      <c r="H135" s="19" t="s">
        <v>428</v>
      </c>
      <c r="I135" s="20" t="s">
        <v>429</v>
      </c>
      <c r="J135" s="20" t="s">
        <v>430</v>
      </c>
      <c r="K135" s="21"/>
    </row>
    <row r="136" spans="1:11" ht="15" x14ac:dyDescent="0.25">
      <c r="A136" s="19">
        <v>133</v>
      </c>
      <c r="B136" s="33">
        <v>2609370</v>
      </c>
      <c r="C136" s="36">
        <v>1</v>
      </c>
      <c r="D136" s="33" t="s">
        <v>432</v>
      </c>
      <c r="E136" s="33" t="s">
        <v>432</v>
      </c>
      <c r="F136" s="34">
        <v>6860350.4199999999</v>
      </c>
      <c r="G136" s="19" t="s">
        <v>427</v>
      </c>
      <c r="H136" s="19" t="s">
        <v>428</v>
      </c>
      <c r="I136" s="20" t="s">
        <v>429</v>
      </c>
      <c r="J136" s="20" t="s">
        <v>430</v>
      </c>
      <c r="K136" s="21"/>
    </row>
    <row r="137" spans="1:11" ht="15" x14ac:dyDescent="0.25">
      <c r="A137" s="19">
        <v>134</v>
      </c>
      <c r="B137" s="33">
        <v>2292883</v>
      </c>
      <c r="C137" s="36">
        <v>1</v>
      </c>
      <c r="D137" s="33" t="s">
        <v>432</v>
      </c>
      <c r="E137" s="33" t="s">
        <v>432</v>
      </c>
      <c r="F137" s="34">
        <v>8995859.6899999995</v>
      </c>
      <c r="G137" s="19" t="s">
        <v>427</v>
      </c>
      <c r="H137" s="19" t="s">
        <v>428</v>
      </c>
      <c r="I137" s="20" t="s">
        <v>429</v>
      </c>
      <c r="J137" s="20" t="s">
        <v>430</v>
      </c>
      <c r="K137" s="21"/>
    </row>
    <row r="138" spans="1:11" ht="15" x14ac:dyDescent="0.25">
      <c r="A138" s="19">
        <v>135</v>
      </c>
      <c r="B138" s="33">
        <v>2472122</v>
      </c>
      <c r="C138" s="36">
        <v>1</v>
      </c>
      <c r="D138" s="33" t="s">
        <v>432</v>
      </c>
      <c r="E138" s="33" t="s">
        <v>432</v>
      </c>
      <c r="F138" s="34">
        <v>10918612.699999999</v>
      </c>
      <c r="G138" s="19" t="s">
        <v>427</v>
      </c>
      <c r="H138" s="35" t="s">
        <v>433</v>
      </c>
      <c r="I138" s="20" t="s">
        <v>429</v>
      </c>
      <c r="J138" s="20" t="s">
        <v>430</v>
      </c>
      <c r="K138" s="21"/>
    </row>
    <row r="139" spans="1:11" ht="15" x14ac:dyDescent="0.25">
      <c r="A139" s="32">
        <v>136</v>
      </c>
      <c r="B139" s="33">
        <v>2275907</v>
      </c>
      <c r="C139" s="33">
        <v>1</v>
      </c>
      <c r="D139" s="33" t="s">
        <v>435</v>
      </c>
      <c r="E139" s="33" t="s">
        <v>432</v>
      </c>
      <c r="F139" s="34">
        <v>10869404.93</v>
      </c>
      <c r="G139" s="19" t="s">
        <v>427</v>
      </c>
      <c r="H139" s="35" t="s">
        <v>433</v>
      </c>
      <c r="I139" s="20" t="s">
        <v>429</v>
      </c>
      <c r="J139" s="20" t="s">
        <v>430</v>
      </c>
      <c r="K139" s="21"/>
    </row>
    <row r="140" spans="1:11" ht="15" x14ac:dyDescent="0.25">
      <c r="A140" s="32">
        <v>137</v>
      </c>
      <c r="B140" s="33">
        <v>2302353</v>
      </c>
      <c r="C140" s="33">
        <v>1</v>
      </c>
      <c r="D140" s="33" t="s">
        <v>435</v>
      </c>
      <c r="E140" s="33" t="s">
        <v>432</v>
      </c>
      <c r="F140" s="34">
        <v>10902077.84</v>
      </c>
      <c r="G140" s="19" t="s">
        <v>427</v>
      </c>
      <c r="H140" s="35" t="s">
        <v>433</v>
      </c>
      <c r="I140" s="20" t="s">
        <v>429</v>
      </c>
      <c r="J140" s="20" t="s">
        <v>430</v>
      </c>
      <c r="K140" s="21"/>
    </row>
    <row r="141" spans="1:11" ht="15" x14ac:dyDescent="0.25">
      <c r="A141" s="32">
        <v>138</v>
      </c>
      <c r="B141" s="33">
        <v>2409068</v>
      </c>
      <c r="C141" s="33">
        <v>1</v>
      </c>
      <c r="D141" s="33" t="s">
        <v>437</v>
      </c>
      <c r="E141" s="33" t="s">
        <v>426</v>
      </c>
      <c r="F141" s="34">
        <v>9790378.5</v>
      </c>
      <c r="G141" s="19" t="s">
        <v>427</v>
      </c>
      <c r="H141" s="35" t="s">
        <v>433</v>
      </c>
      <c r="I141" s="20" t="s">
        <v>429</v>
      </c>
      <c r="J141" s="20" t="s">
        <v>430</v>
      </c>
      <c r="K141" s="21"/>
    </row>
    <row r="142" spans="1:11" ht="15" x14ac:dyDescent="0.25">
      <c r="A142" s="32">
        <v>139</v>
      </c>
      <c r="B142" s="33">
        <v>2504702</v>
      </c>
      <c r="C142" s="33">
        <v>1</v>
      </c>
      <c r="D142" s="33" t="s">
        <v>438</v>
      </c>
      <c r="E142" s="33" t="s">
        <v>426</v>
      </c>
      <c r="F142" s="34">
        <v>2586770.0699999998</v>
      </c>
      <c r="G142" s="19" t="s">
        <v>427</v>
      </c>
      <c r="H142" s="35" t="s">
        <v>433</v>
      </c>
      <c r="I142" s="20" t="s">
        <v>429</v>
      </c>
      <c r="J142" s="20" t="s">
        <v>430</v>
      </c>
      <c r="K142" s="21"/>
    </row>
    <row r="143" spans="1:11" ht="15" x14ac:dyDescent="0.25">
      <c r="A143" s="19">
        <v>140</v>
      </c>
      <c r="B143" s="33">
        <v>2512745</v>
      </c>
      <c r="C143" s="33">
        <v>1</v>
      </c>
      <c r="D143" s="33" t="s">
        <v>438</v>
      </c>
      <c r="E143" s="33" t="s">
        <v>426</v>
      </c>
      <c r="F143" s="34">
        <v>3721163.39</v>
      </c>
      <c r="G143" s="19" t="s">
        <v>427</v>
      </c>
      <c r="H143" s="35" t="s">
        <v>433</v>
      </c>
      <c r="I143" s="20" t="s">
        <v>429</v>
      </c>
      <c r="J143" s="20" t="s">
        <v>430</v>
      </c>
      <c r="K143" s="21"/>
    </row>
    <row r="144" spans="1:11" ht="15" x14ac:dyDescent="0.25">
      <c r="A144" s="19">
        <v>141</v>
      </c>
      <c r="B144" s="33">
        <v>2512859</v>
      </c>
      <c r="C144" s="33">
        <v>1</v>
      </c>
      <c r="D144" s="33" t="s">
        <v>438</v>
      </c>
      <c r="E144" s="33" t="s">
        <v>426</v>
      </c>
      <c r="F144" s="34">
        <v>2532313.6</v>
      </c>
      <c r="G144" s="19" t="s">
        <v>427</v>
      </c>
      <c r="H144" s="35" t="s">
        <v>433</v>
      </c>
      <c r="I144" s="20" t="s">
        <v>429</v>
      </c>
      <c r="J144" s="20" t="s">
        <v>430</v>
      </c>
      <c r="K144" s="21"/>
    </row>
    <row r="145" spans="1:11" ht="15" x14ac:dyDescent="0.25">
      <c r="A145" s="19">
        <v>142</v>
      </c>
      <c r="B145" s="33">
        <v>2513034</v>
      </c>
      <c r="C145" s="33">
        <v>1</v>
      </c>
      <c r="D145" s="33" t="s">
        <v>438</v>
      </c>
      <c r="E145" s="33" t="s">
        <v>426</v>
      </c>
      <c r="F145" s="34">
        <v>3306198.63</v>
      </c>
      <c r="G145" s="19" t="s">
        <v>427</v>
      </c>
      <c r="H145" s="35" t="s">
        <v>433</v>
      </c>
      <c r="I145" s="20" t="s">
        <v>429</v>
      </c>
      <c r="J145" s="20" t="s">
        <v>430</v>
      </c>
      <c r="K145" s="21"/>
    </row>
    <row r="146" spans="1:11" ht="15" x14ac:dyDescent="0.25">
      <c r="A146" s="19">
        <v>143</v>
      </c>
      <c r="B146" s="33">
        <v>2334297</v>
      </c>
      <c r="C146" s="33">
        <v>1</v>
      </c>
      <c r="D146" s="33" t="s">
        <v>440</v>
      </c>
      <c r="E146" s="33" t="s">
        <v>426</v>
      </c>
      <c r="F146" s="34">
        <v>7742834.0199999996</v>
      </c>
      <c r="G146" s="19" t="s">
        <v>427</v>
      </c>
      <c r="H146" s="35" t="s">
        <v>433</v>
      </c>
      <c r="I146" s="20" t="s">
        <v>429</v>
      </c>
      <c r="J146" s="20" t="s">
        <v>430</v>
      </c>
      <c r="K146" s="21"/>
    </row>
    <row r="147" spans="1:11" ht="15" x14ac:dyDescent="0.25">
      <c r="A147" s="19">
        <v>144</v>
      </c>
      <c r="B147" s="33">
        <v>2496093</v>
      </c>
      <c r="C147" s="33">
        <v>1</v>
      </c>
      <c r="D147" s="33" t="s">
        <v>439</v>
      </c>
      <c r="E147" s="33" t="s">
        <v>432</v>
      </c>
      <c r="F147" s="34">
        <v>47691259.149999999</v>
      </c>
      <c r="G147" s="19" t="s">
        <v>427</v>
      </c>
      <c r="H147" s="35" t="s">
        <v>433</v>
      </c>
      <c r="I147" s="20" t="s">
        <v>429</v>
      </c>
      <c r="J147" s="20" t="s">
        <v>430</v>
      </c>
      <c r="K147" s="21"/>
    </row>
    <row r="148" spans="1:11" ht="15" x14ac:dyDescent="0.25">
      <c r="A148" s="32">
        <v>145</v>
      </c>
      <c r="B148" s="33">
        <v>2335579</v>
      </c>
      <c r="C148" s="33">
        <v>1</v>
      </c>
      <c r="D148" s="33" t="s">
        <v>434</v>
      </c>
      <c r="E148" s="33" t="s">
        <v>432</v>
      </c>
      <c r="F148" s="34">
        <v>10695183.029999999</v>
      </c>
      <c r="G148" s="19" t="s">
        <v>427</v>
      </c>
      <c r="H148" s="19" t="s">
        <v>428</v>
      </c>
      <c r="I148" s="20" t="s">
        <v>429</v>
      </c>
      <c r="J148" s="20" t="s">
        <v>430</v>
      </c>
      <c r="K148" s="21"/>
    </row>
    <row r="149" spans="1:11" ht="15" x14ac:dyDescent="0.25">
      <c r="A149" s="32">
        <v>146</v>
      </c>
      <c r="B149" s="33">
        <v>2212639</v>
      </c>
      <c r="C149" s="33">
        <v>1</v>
      </c>
      <c r="D149" s="33" t="s">
        <v>425</v>
      </c>
      <c r="E149" s="33" t="s">
        <v>426</v>
      </c>
      <c r="F149" s="34">
        <v>6249870.0599999996</v>
      </c>
      <c r="G149" s="19" t="s">
        <v>427</v>
      </c>
      <c r="H149" s="19" t="s">
        <v>428</v>
      </c>
      <c r="I149" s="20" t="s">
        <v>429</v>
      </c>
      <c r="J149" s="20" t="s">
        <v>430</v>
      </c>
      <c r="K149" s="21"/>
    </row>
    <row r="150" spans="1:11" ht="15" x14ac:dyDescent="0.25">
      <c r="A150" s="32">
        <v>147</v>
      </c>
      <c r="B150" s="33">
        <v>2524230</v>
      </c>
      <c r="C150" s="33">
        <v>1</v>
      </c>
      <c r="D150" s="33" t="s">
        <v>425</v>
      </c>
      <c r="E150" s="33" t="s">
        <v>426</v>
      </c>
      <c r="F150" s="34">
        <v>11130063.109999999</v>
      </c>
      <c r="G150" s="19" t="s">
        <v>427</v>
      </c>
      <c r="H150" s="19" t="s">
        <v>428</v>
      </c>
      <c r="I150" s="20" t="s">
        <v>429</v>
      </c>
      <c r="J150" s="20" t="s">
        <v>430</v>
      </c>
      <c r="K150" s="21"/>
    </row>
    <row r="151" spans="1:11" ht="15" x14ac:dyDescent="0.25">
      <c r="A151" s="32">
        <v>148</v>
      </c>
      <c r="B151" s="33">
        <v>2332416</v>
      </c>
      <c r="C151" s="33">
        <v>1</v>
      </c>
      <c r="D151" s="33" t="s">
        <v>425</v>
      </c>
      <c r="E151" s="33" t="s">
        <v>426</v>
      </c>
      <c r="F151" s="34">
        <v>4541443</v>
      </c>
      <c r="G151" s="19" t="s">
        <v>427</v>
      </c>
      <c r="H151" s="19" t="s">
        <v>428</v>
      </c>
      <c r="I151" s="20" t="s">
        <v>429</v>
      </c>
      <c r="J151" s="20" t="s">
        <v>430</v>
      </c>
      <c r="K151" s="21"/>
    </row>
    <row r="152" spans="1:11" ht="15" x14ac:dyDescent="0.25">
      <c r="A152" s="19">
        <v>149</v>
      </c>
      <c r="B152" s="33">
        <v>2590484</v>
      </c>
      <c r="C152" s="33">
        <v>1</v>
      </c>
      <c r="D152" s="33" t="s">
        <v>425</v>
      </c>
      <c r="E152" s="33" t="s">
        <v>426</v>
      </c>
      <c r="F152" s="34">
        <v>4114735.52</v>
      </c>
      <c r="G152" s="19" t="s">
        <v>427</v>
      </c>
      <c r="H152" s="19" t="s">
        <v>428</v>
      </c>
      <c r="I152" s="20" t="s">
        <v>429</v>
      </c>
      <c r="J152" s="20" t="s">
        <v>430</v>
      </c>
      <c r="K152" s="21"/>
    </row>
    <row r="153" spans="1:11" ht="15" x14ac:dyDescent="0.25">
      <c r="A153" s="19">
        <v>150</v>
      </c>
      <c r="B153" s="33">
        <v>2452430</v>
      </c>
      <c r="C153" s="33">
        <v>2</v>
      </c>
      <c r="D153" s="33" t="s">
        <v>426</v>
      </c>
      <c r="E153" s="33" t="s">
        <v>426</v>
      </c>
      <c r="F153" s="34">
        <v>55716229.219999999</v>
      </c>
      <c r="G153" s="19" t="s">
        <v>427</v>
      </c>
      <c r="H153" s="19" t="s">
        <v>428</v>
      </c>
      <c r="I153" s="20" t="s">
        <v>429</v>
      </c>
      <c r="J153" s="20" t="s">
        <v>430</v>
      </c>
      <c r="K153" s="21"/>
    </row>
    <row r="154" spans="1:11" ht="15" x14ac:dyDescent="0.25">
      <c r="A154" s="19">
        <v>151</v>
      </c>
      <c r="B154" s="33">
        <v>2492554</v>
      </c>
      <c r="C154" s="33">
        <v>1</v>
      </c>
      <c r="D154" s="33" t="s">
        <v>425</v>
      </c>
      <c r="E154" s="33" t="s">
        <v>426</v>
      </c>
      <c r="F154" s="34">
        <v>2817726.91</v>
      </c>
      <c r="G154" s="19" t="s">
        <v>427</v>
      </c>
      <c r="H154" s="19" t="s">
        <v>428</v>
      </c>
      <c r="I154" s="20" t="s">
        <v>429</v>
      </c>
      <c r="J154" s="20" t="s">
        <v>430</v>
      </c>
      <c r="K154" s="21"/>
    </row>
    <row r="155" spans="1:11" ht="15" x14ac:dyDescent="0.25">
      <c r="A155" s="19">
        <v>152</v>
      </c>
      <c r="B155" s="33">
        <v>2465367</v>
      </c>
      <c r="C155" s="33">
        <v>1</v>
      </c>
      <c r="D155" s="33" t="s">
        <v>426</v>
      </c>
      <c r="E155" s="33" t="s">
        <v>426</v>
      </c>
      <c r="F155" s="34">
        <v>16348614.67</v>
      </c>
      <c r="G155" s="19" t="s">
        <v>427</v>
      </c>
      <c r="H155" s="19" t="s">
        <v>428</v>
      </c>
      <c r="I155" s="20" t="s">
        <v>429</v>
      </c>
      <c r="J155" s="20" t="s">
        <v>430</v>
      </c>
      <c r="K155" s="21"/>
    </row>
    <row r="156" spans="1:11" ht="15" x14ac:dyDescent="0.25">
      <c r="A156" s="19">
        <v>153</v>
      </c>
      <c r="B156" s="33">
        <v>2225956</v>
      </c>
      <c r="C156" s="33">
        <v>1</v>
      </c>
      <c r="D156" s="33" t="s">
        <v>426</v>
      </c>
      <c r="E156" s="33" t="s">
        <v>426</v>
      </c>
      <c r="F156" s="34">
        <v>10922062.369999999</v>
      </c>
      <c r="G156" s="19" t="s">
        <v>427</v>
      </c>
      <c r="H156" s="19" t="s">
        <v>428</v>
      </c>
      <c r="I156" s="20" t="s">
        <v>429</v>
      </c>
      <c r="J156" s="20" t="s">
        <v>430</v>
      </c>
      <c r="K156" s="21"/>
    </row>
    <row r="157" spans="1:11" ht="15" x14ac:dyDescent="0.25">
      <c r="A157" s="32">
        <v>154</v>
      </c>
      <c r="B157" s="33">
        <v>2512604</v>
      </c>
      <c r="C157" s="33">
        <v>1</v>
      </c>
      <c r="D157" s="33" t="s">
        <v>426</v>
      </c>
      <c r="E157" s="33" t="s">
        <v>426</v>
      </c>
      <c r="F157" s="34">
        <v>2471934.6800000002</v>
      </c>
      <c r="G157" s="19" t="s">
        <v>427</v>
      </c>
      <c r="H157" s="19" t="s">
        <v>428</v>
      </c>
      <c r="I157" s="20" t="s">
        <v>429</v>
      </c>
      <c r="J157" s="20" t="s">
        <v>430</v>
      </c>
      <c r="K157" s="21"/>
    </row>
    <row r="158" spans="1:11" ht="15" x14ac:dyDescent="0.25">
      <c r="A158" s="32">
        <v>155</v>
      </c>
      <c r="B158" s="33">
        <v>2447727</v>
      </c>
      <c r="C158" s="33">
        <v>1</v>
      </c>
      <c r="D158" s="33" t="s">
        <v>432</v>
      </c>
      <c r="E158" s="33" t="s">
        <v>432</v>
      </c>
      <c r="F158" s="34">
        <v>14027688</v>
      </c>
      <c r="G158" s="19" t="s">
        <v>427</v>
      </c>
      <c r="H158" s="19" t="s">
        <v>428</v>
      </c>
      <c r="I158" s="20" t="s">
        <v>429</v>
      </c>
      <c r="J158" s="20" t="s">
        <v>430</v>
      </c>
      <c r="K158" s="21"/>
    </row>
    <row r="159" spans="1:11" ht="15" x14ac:dyDescent="0.25">
      <c r="A159" s="32">
        <v>156</v>
      </c>
      <c r="B159" s="33">
        <v>2511377</v>
      </c>
      <c r="C159" s="33">
        <v>1</v>
      </c>
      <c r="D159" s="33" t="s">
        <v>437</v>
      </c>
      <c r="E159" s="33" t="s">
        <v>426</v>
      </c>
      <c r="F159" s="34">
        <v>6353197.0300000003</v>
      </c>
      <c r="G159" s="19" t="s">
        <v>427</v>
      </c>
      <c r="H159" s="35" t="s">
        <v>433</v>
      </c>
      <c r="I159" s="20" t="s">
        <v>429</v>
      </c>
      <c r="J159" s="20" t="s">
        <v>430</v>
      </c>
      <c r="K159" s="21"/>
    </row>
    <row r="160" spans="1:11" ht="15" x14ac:dyDescent="0.25">
      <c r="A160" s="32">
        <v>157</v>
      </c>
      <c r="B160" s="33">
        <v>2245369</v>
      </c>
      <c r="C160" s="33">
        <v>1</v>
      </c>
      <c r="D160" s="33" t="s">
        <v>438</v>
      </c>
      <c r="E160" s="33" t="s">
        <v>426</v>
      </c>
      <c r="F160" s="34">
        <v>6797485.3099999996</v>
      </c>
      <c r="G160" s="19" t="s">
        <v>427</v>
      </c>
      <c r="H160" s="35" t="s">
        <v>433</v>
      </c>
      <c r="I160" s="20" t="s">
        <v>429</v>
      </c>
      <c r="J160" s="20" t="s">
        <v>430</v>
      </c>
      <c r="K160" s="21"/>
    </row>
    <row r="161" spans="1:11" ht="15" x14ac:dyDescent="0.25">
      <c r="A161" s="19">
        <v>158</v>
      </c>
      <c r="B161" s="33">
        <v>2314710</v>
      </c>
      <c r="C161" s="33">
        <v>1</v>
      </c>
      <c r="D161" s="33" t="s">
        <v>435</v>
      </c>
      <c r="E161" s="33" t="s">
        <v>432</v>
      </c>
      <c r="F161" s="34">
        <v>23710023.559999999</v>
      </c>
      <c r="G161" s="19" t="s">
        <v>427</v>
      </c>
      <c r="H161" s="35" t="s">
        <v>433</v>
      </c>
      <c r="I161" s="20" t="s">
        <v>429</v>
      </c>
      <c r="J161" s="20" t="s">
        <v>430</v>
      </c>
      <c r="K161" s="21"/>
    </row>
    <row r="162" spans="1:11" ht="15" x14ac:dyDescent="0.25">
      <c r="A162" s="19">
        <v>159</v>
      </c>
      <c r="B162" s="33">
        <v>2272579</v>
      </c>
      <c r="C162" s="33">
        <v>1</v>
      </c>
      <c r="D162" s="33" t="s">
        <v>438</v>
      </c>
      <c r="E162" s="33" t="s">
        <v>426</v>
      </c>
      <c r="F162" s="34">
        <v>4375467.42</v>
      </c>
      <c r="G162" s="19" t="s">
        <v>427</v>
      </c>
      <c r="H162" s="35" t="s">
        <v>433</v>
      </c>
      <c r="I162" s="20" t="s">
        <v>429</v>
      </c>
      <c r="J162" s="20" t="s">
        <v>430</v>
      </c>
      <c r="K162" s="21"/>
    </row>
    <row r="163" spans="1:11" ht="15" x14ac:dyDescent="0.25">
      <c r="A163" s="19">
        <v>160</v>
      </c>
      <c r="B163" s="33">
        <v>2193272</v>
      </c>
      <c r="C163" s="33">
        <v>1</v>
      </c>
      <c r="D163" s="33" t="s">
        <v>444</v>
      </c>
      <c r="E163" s="33" t="s">
        <v>432</v>
      </c>
      <c r="F163" s="34">
        <v>7139789.3799999999</v>
      </c>
      <c r="G163" s="19" t="s">
        <v>427</v>
      </c>
      <c r="H163" s="35" t="s">
        <v>433</v>
      </c>
      <c r="I163" s="20" t="s">
        <v>429</v>
      </c>
      <c r="J163" s="20" t="s">
        <v>430</v>
      </c>
      <c r="K163" s="21"/>
    </row>
    <row r="164" spans="1:11" ht="15" x14ac:dyDescent="0.25">
      <c r="A164" s="19">
        <v>161</v>
      </c>
      <c r="B164" s="33">
        <v>2501428</v>
      </c>
      <c r="C164" s="33">
        <v>1</v>
      </c>
      <c r="D164" s="33" t="s">
        <v>425</v>
      </c>
      <c r="E164" s="33" t="s">
        <v>426</v>
      </c>
      <c r="F164" s="34">
        <v>11415424.26</v>
      </c>
      <c r="G164" s="19" t="s">
        <v>427</v>
      </c>
      <c r="H164" s="35" t="s">
        <v>433</v>
      </c>
      <c r="I164" s="20" t="s">
        <v>429</v>
      </c>
      <c r="J164" s="20" t="s">
        <v>430</v>
      </c>
      <c r="K164" s="21"/>
    </row>
    <row r="165" spans="1:11" ht="15" x14ac:dyDescent="0.25">
      <c r="A165" s="19">
        <v>162</v>
      </c>
      <c r="B165" s="33">
        <v>2467740</v>
      </c>
      <c r="C165" s="33">
        <v>1</v>
      </c>
      <c r="D165" s="33" t="s">
        <v>425</v>
      </c>
      <c r="E165" s="33" t="s">
        <v>426</v>
      </c>
      <c r="F165" s="34">
        <v>3316041.21</v>
      </c>
      <c r="G165" s="19" t="s">
        <v>427</v>
      </c>
      <c r="H165" s="35" t="s">
        <v>433</v>
      </c>
      <c r="I165" s="20" t="s">
        <v>429</v>
      </c>
      <c r="J165" s="20" t="s">
        <v>430</v>
      </c>
      <c r="K165" s="21"/>
    </row>
    <row r="166" spans="1:11" ht="15" x14ac:dyDescent="0.25">
      <c r="A166" s="32">
        <v>163</v>
      </c>
      <c r="B166" s="33">
        <v>2308934</v>
      </c>
      <c r="C166" s="33">
        <v>1</v>
      </c>
      <c r="D166" s="33" t="s">
        <v>425</v>
      </c>
      <c r="E166" s="33" t="s">
        <v>426</v>
      </c>
      <c r="F166" s="34">
        <v>6488986.3799999999</v>
      </c>
      <c r="G166" s="19" t="s">
        <v>427</v>
      </c>
      <c r="H166" s="19" t="s">
        <v>428</v>
      </c>
      <c r="I166" s="20" t="s">
        <v>429</v>
      </c>
      <c r="J166" s="20" t="s">
        <v>430</v>
      </c>
      <c r="K166" s="21"/>
    </row>
    <row r="167" spans="1:11" ht="15" x14ac:dyDescent="0.25">
      <c r="A167" s="32">
        <v>164</v>
      </c>
      <c r="B167" s="33">
        <v>2188433</v>
      </c>
      <c r="C167" s="36">
        <v>1</v>
      </c>
      <c r="D167" s="33" t="s">
        <v>432</v>
      </c>
      <c r="E167" s="33" t="s">
        <v>432</v>
      </c>
      <c r="F167" s="34">
        <v>20893944.969999999</v>
      </c>
      <c r="G167" s="19" t="s">
        <v>427</v>
      </c>
      <c r="H167" s="19" t="s">
        <v>428</v>
      </c>
      <c r="I167" s="20" t="s">
        <v>429</v>
      </c>
      <c r="J167" s="20" t="s">
        <v>430</v>
      </c>
      <c r="K167" s="21"/>
    </row>
    <row r="168" spans="1:11" ht="15" x14ac:dyDescent="0.25">
      <c r="A168" s="32">
        <v>165</v>
      </c>
      <c r="B168" s="33">
        <v>2240755</v>
      </c>
      <c r="C168" s="36">
        <v>1</v>
      </c>
      <c r="D168" s="33" t="s">
        <v>432</v>
      </c>
      <c r="E168" s="33" t="s">
        <v>432</v>
      </c>
      <c r="F168" s="34">
        <v>34515941.689999998</v>
      </c>
      <c r="G168" s="19" t="s">
        <v>427</v>
      </c>
      <c r="H168" s="19" t="s">
        <v>428</v>
      </c>
      <c r="I168" s="20" t="s">
        <v>429</v>
      </c>
      <c r="J168" s="20" t="s">
        <v>430</v>
      </c>
      <c r="K168" s="21"/>
    </row>
    <row r="169" spans="1:11" ht="15" x14ac:dyDescent="0.25">
      <c r="A169" s="32">
        <v>166</v>
      </c>
      <c r="B169" s="33">
        <v>2307755</v>
      </c>
      <c r="C169" s="36">
        <v>2</v>
      </c>
      <c r="D169" s="33" t="s">
        <v>432</v>
      </c>
      <c r="E169" s="33" t="s">
        <v>432</v>
      </c>
      <c r="F169" s="34">
        <v>13732372.539999999</v>
      </c>
      <c r="G169" s="19" t="s">
        <v>427</v>
      </c>
      <c r="H169" s="19" t="s">
        <v>428</v>
      </c>
      <c r="I169" s="20" t="s">
        <v>429</v>
      </c>
      <c r="J169" s="20" t="s">
        <v>430</v>
      </c>
      <c r="K169" s="21"/>
    </row>
    <row r="170" spans="1:11" ht="15" x14ac:dyDescent="0.25">
      <c r="A170" s="19">
        <v>167</v>
      </c>
      <c r="B170" s="33">
        <v>2581294</v>
      </c>
      <c r="C170" s="36">
        <v>1</v>
      </c>
      <c r="D170" s="33" t="s">
        <v>432</v>
      </c>
      <c r="E170" s="33" t="s">
        <v>432</v>
      </c>
      <c r="F170" s="34">
        <v>10798909.32</v>
      </c>
      <c r="G170" s="19" t="s">
        <v>427</v>
      </c>
      <c r="H170" s="19" t="s">
        <v>428</v>
      </c>
      <c r="I170" s="20" t="s">
        <v>429</v>
      </c>
      <c r="J170" s="20" t="s">
        <v>430</v>
      </c>
      <c r="K170" s="21"/>
    </row>
    <row r="171" spans="1:11" ht="15" x14ac:dyDescent="0.25">
      <c r="A171" s="19">
        <v>168</v>
      </c>
      <c r="B171" s="33">
        <v>2450612</v>
      </c>
      <c r="C171" s="33">
        <v>1</v>
      </c>
      <c r="D171" s="33" t="s">
        <v>432</v>
      </c>
      <c r="E171" s="33" t="s">
        <v>432</v>
      </c>
      <c r="F171" s="34">
        <v>6215519.7800000003</v>
      </c>
      <c r="G171" s="19" t="s">
        <v>427</v>
      </c>
      <c r="H171" s="19" t="s">
        <v>428</v>
      </c>
      <c r="I171" s="20" t="s">
        <v>429</v>
      </c>
      <c r="J171" s="20" t="s">
        <v>430</v>
      </c>
      <c r="K171" s="21"/>
    </row>
    <row r="172" spans="1:11" ht="15" x14ac:dyDescent="0.25">
      <c r="A172" s="19">
        <v>169</v>
      </c>
      <c r="B172" s="33">
        <v>2613476</v>
      </c>
      <c r="C172" s="36">
        <v>1</v>
      </c>
      <c r="D172" s="33" t="s">
        <v>432</v>
      </c>
      <c r="E172" s="33" t="s">
        <v>432</v>
      </c>
      <c r="F172" s="34">
        <v>4293171.63</v>
      </c>
      <c r="G172" s="19" t="s">
        <v>427</v>
      </c>
      <c r="H172" s="35" t="s">
        <v>433</v>
      </c>
      <c r="I172" s="20" t="s">
        <v>429</v>
      </c>
      <c r="J172" s="20" t="s">
        <v>430</v>
      </c>
      <c r="K172" s="21"/>
    </row>
    <row r="173" spans="1:11" ht="15" x14ac:dyDescent="0.25">
      <c r="A173" s="19">
        <v>170</v>
      </c>
      <c r="B173" s="33">
        <v>2211527</v>
      </c>
      <c r="C173" s="36">
        <v>1</v>
      </c>
      <c r="D173" s="33" t="s">
        <v>432</v>
      </c>
      <c r="E173" s="33" t="s">
        <v>432</v>
      </c>
      <c r="F173" s="34">
        <v>8772340.9700000007</v>
      </c>
      <c r="G173" s="19" t="s">
        <v>427</v>
      </c>
      <c r="H173" s="19" t="s">
        <v>428</v>
      </c>
      <c r="I173" s="20" t="s">
        <v>429</v>
      </c>
      <c r="J173" s="20" t="s">
        <v>430</v>
      </c>
      <c r="K173" s="21"/>
    </row>
    <row r="174" spans="1:11" ht="15" x14ac:dyDescent="0.25">
      <c r="A174" s="19">
        <v>171</v>
      </c>
      <c r="B174" s="33">
        <v>2317580</v>
      </c>
      <c r="C174" s="36">
        <v>1</v>
      </c>
      <c r="D174" s="33" t="s">
        <v>432</v>
      </c>
      <c r="E174" s="33" t="s">
        <v>432</v>
      </c>
      <c r="F174" s="34">
        <v>3754539.22</v>
      </c>
      <c r="G174" s="19" t="s">
        <v>427</v>
      </c>
      <c r="H174" s="35" t="s">
        <v>433</v>
      </c>
      <c r="I174" s="20" t="s">
        <v>429</v>
      </c>
      <c r="J174" s="20" t="s">
        <v>430</v>
      </c>
      <c r="K174" s="21"/>
    </row>
    <row r="175" spans="1:11" ht="15" x14ac:dyDescent="0.25">
      <c r="A175" s="32">
        <v>172</v>
      </c>
      <c r="B175" s="33">
        <v>2466596</v>
      </c>
      <c r="C175" s="33">
        <v>1</v>
      </c>
      <c r="D175" s="33" t="s">
        <v>439</v>
      </c>
      <c r="E175" s="33" t="s">
        <v>426</v>
      </c>
      <c r="F175" s="34">
        <v>12410112.130000001</v>
      </c>
      <c r="G175" s="19" t="s">
        <v>427</v>
      </c>
      <c r="H175" s="35" t="s">
        <v>433</v>
      </c>
      <c r="I175" s="20" t="s">
        <v>429</v>
      </c>
      <c r="J175" s="20" t="s">
        <v>430</v>
      </c>
      <c r="K175" s="21"/>
    </row>
    <row r="176" spans="1:11" ht="15" x14ac:dyDescent="0.25">
      <c r="A176" s="32">
        <v>173</v>
      </c>
      <c r="B176" s="33">
        <v>2473484</v>
      </c>
      <c r="C176" s="33">
        <v>1</v>
      </c>
      <c r="D176" s="33" t="s">
        <v>434</v>
      </c>
      <c r="E176" s="33" t="s">
        <v>432</v>
      </c>
      <c r="F176" s="34">
        <v>15196590.050000001</v>
      </c>
      <c r="G176" s="19" t="s">
        <v>427</v>
      </c>
      <c r="H176" s="35" t="s">
        <v>433</v>
      </c>
      <c r="I176" s="20" t="s">
        <v>429</v>
      </c>
      <c r="J176" s="20" t="s">
        <v>430</v>
      </c>
      <c r="K176" s="21"/>
    </row>
    <row r="177" spans="1:11" ht="15" x14ac:dyDescent="0.25">
      <c r="A177" s="32">
        <v>174</v>
      </c>
      <c r="B177" s="33">
        <v>2302452</v>
      </c>
      <c r="C177" s="33">
        <v>1</v>
      </c>
      <c r="D177" s="33" t="s">
        <v>425</v>
      </c>
      <c r="E177" s="33" t="s">
        <v>426</v>
      </c>
      <c r="F177" s="34">
        <v>9702435.6199999992</v>
      </c>
      <c r="G177" s="19" t="s">
        <v>427</v>
      </c>
      <c r="H177" s="35" t="s">
        <v>433</v>
      </c>
      <c r="I177" s="20" t="s">
        <v>429</v>
      </c>
      <c r="J177" s="20" t="s">
        <v>430</v>
      </c>
      <c r="K177" s="21"/>
    </row>
    <row r="178" spans="1:11" ht="15" x14ac:dyDescent="0.25">
      <c r="A178" s="32">
        <v>175</v>
      </c>
      <c r="B178" s="33">
        <v>2529592</v>
      </c>
      <c r="C178" s="33">
        <v>1</v>
      </c>
      <c r="D178" s="33" t="s">
        <v>425</v>
      </c>
      <c r="E178" s="33" t="s">
        <v>426</v>
      </c>
      <c r="F178" s="34">
        <v>26221156.940000001</v>
      </c>
      <c r="G178" s="19" t="s">
        <v>427</v>
      </c>
      <c r="H178" s="19" t="s">
        <v>428</v>
      </c>
      <c r="I178" s="20" t="s">
        <v>429</v>
      </c>
      <c r="J178" s="20" t="s">
        <v>430</v>
      </c>
      <c r="K178" s="21"/>
    </row>
    <row r="179" spans="1:11" ht="15" x14ac:dyDescent="0.25">
      <c r="A179" s="19">
        <v>176</v>
      </c>
      <c r="B179" s="33">
        <v>2537225</v>
      </c>
      <c r="C179" s="33">
        <v>1</v>
      </c>
      <c r="D179" s="33" t="s">
        <v>425</v>
      </c>
      <c r="E179" s="33" t="s">
        <v>426</v>
      </c>
      <c r="F179" s="34">
        <v>2158741.44</v>
      </c>
      <c r="G179" s="19" t="s">
        <v>427</v>
      </c>
      <c r="H179" s="19" t="s">
        <v>428</v>
      </c>
      <c r="I179" s="20" t="s">
        <v>429</v>
      </c>
      <c r="J179" s="20" t="s">
        <v>430</v>
      </c>
      <c r="K179" s="21"/>
    </row>
    <row r="180" spans="1:11" ht="15" x14ac:dyDescent="0.25">
      <c r="A180" s="19">
        <v>177</v>
      </c>
      <c r="B180" s="33">
        <v>2525689</v>
      </c>
      <c r="C180" s="33">
        <v>1</v>
      </c>
      <c r="D180" s="33" t="s">
        <v>425</v>
      </c>
      <c r="E180" s="33" t="s">
        <v>426</v>
      </c>
      <c r="F180" s="34">
        <v>77959898.689999998</v>
      </c>
      <c r="G180" s="19" t="s">
        <v>427</v>
      </c>
      <c r="H180" s="35" t="s">
        <v>433</v>
      </c>
      <c r="I180" s="20" t="s">
        <v>429</v>
      </c>
      <c r="J180" s="20" t="s">
        <v>430</v>
      </c>
      <c r="K180" s="21"/>
    </row>
    <row r="181" spans="1:11" ht="15" x14ac:dyDescent="0.25">
      <c r="A181" s="19">
        <v>178</v>
      </c>
      <c r="B181" s="33">
        <v>2489043</v>
      </c>
      <c r="C181" s="33">
        <v>1</v>
      </c>
      <c r="D181" s="33" t="s">
        <v>426</v>
      </c>
      <c r="E181" s="33" t="s">
        <v>426</v>
      </c>
      <c r="F181" s="34">
        <v>8131945.5099999998</v>
      </c>
      <c r="G181" s="19" t="s">
        <v>427</v>
      </c>
      <c r="H181" s="19" t="s">
        <v>428</v>
      </c>
      <c r="I181" s="20" t="s">
        <v>429</v>
      </c>
      <c r="J181" s="20" t="s">
        <v>430</v>
      </c>
      <c r="K181" s="21"/>
    </row>
    <row r="182" spans="1:11" ht="15" x14ac:dyDescent="0.25">
      <c r="A182" s="19">
        <v>179</v>
      </c>
      <c r="B182" s="33">
        <v>2253748</v>
      </c>
      <c r="C182" s="33">
        <v>1</v>
      </c>
      <c r="D182" s="33" t="s">
        <v>432</v>
      </c>
      <c r="E182" s="33" t="s">
        <v>432</v>
      </c>
      <c r="F182" s="34">
        <v>12956646.02</v>
      </c>
      <c r="G182" s="19" t="s">
        <v>427</v>
      </c>
      <c r="H182" s="35" t="s">
        <v>433</v>
      </c>
      <c r="I182" s="20" t="s">
        <v>429</v>
      </c>
      <c r="J182" s="20" t="s">
        <v>430</v>
      </c>
      <c r="K182" s="21"/>
    </row>
    <row r="183" spans="1:11" ht="15" x14ac:dyDescent="0.25">
      <c r="A183" s="19">
        <v>180</v>
      </c>
      <c r="B183" s="33">
        <v>2529866</v>
      </c>
      <c r="C183" s="36">
        <v>1</v>
      </c>
      <c r="D183" s="33" t="s">
        <v>432</v>
      </c>
      <c r="E183" s="33" t="s">
        <v>432</v>
      </c>
      <c r="F183" s="34">
        <v>3870550.74</v>
      </c>
      <c r="G183" s="19" t="s">
        <v>427</v>
      </c>
      <c r="H183" s="19" t="s">
        <v>428</v>
      </c>
      <c r="I183" s="20" t="s">
        <v>429</v>
      </c>
      <c r="J183" s="20" t="s">
        <v>430</v>
      </c>
      <c r="K183" s="21"/>
    </row>
    <row r="184" spans="1:11" ht="15" x14ac:dyDescent="0.25">
      <c r="A184" s="32">
        <v>181</v>
      </c>
      <c r="B184" s="33">
        <v>2512817</v>
      </c>
      <c r="C184" s="36">
        <v>1</v>
      </c>
      <c r="D184" s="33" t="s">
        <v>432</v>
      </c>
      <c r="E184" s="33" t="s">
        <v>432</v>
      </c>
      <c r="F184" s="34">
        <v>3251675.6</v>
      </c>
      <c r="G184" s="19" t="s">
        <v>427</v>
      </c>
      <c r="H184" s="19" t="s">
        <v>428</v>
      </c>
      <c r="I184" s="20" t="s">
        <v>429</v>
      </c>
      <c r="J184" s="20" t="s">
        <v>430</v>
      </c>
      <c r="K184" s="21"/>
    </row>
    <row r="185" spans="1:11" ht="15" x14ac:dyDescent="0.25">
      <c r="A185" s="32">
        <v>182</v>
      </c>
      <c r="B185" s="33">
        <v>2285167</v>
      </c>
      <c r="C185" s="33">
        <v>1</v>
      </c>
      <c r="D185" s="33" t="s">
        <v>440</v>
      </c>
      <c r="E185" s="33" t="s">
        <v>432</v>
      </c>
      <c r="F185" s="34">
        <v>9579693.6600000001</v>
      </c>
      <c r="G185" s="19" t="s">
        <v>427</v>
      </c>
      <c r="H185" s="35" t="s">
        <v>433</v>
      </c>
      <c r="I185" s="20" t="s">
        <v>429</v>
      </c>
      <c r="J185" s="20" t="s">
        <v>430</v>
      </c>
      <c r="K185" s="21"/>
    </row>
    <row r="186" spans="1:11" ht="15" x14ac:dyDescent="0.25">
      <c r="A186" s="32">
        <v>183</v>
      </c>
      <c r="B186" s="33">
        <v>2238720</v>
      </c>
      <c r="C186" s="33">
        <v>1</v>
      </c>
      <c r="D186" s="33" t="s">
        <v>436</v>
      </c>
      <c r="E186" s="33" t="s">
        <v>432</v>
      </c>
      <c r="F186" s="34">
        <v>24247441.329999998</v>
      </c>
      <c r="G186" s="19" t="s">
        <v>427</v>
      </c>
      <c r="H186" s="35" t="s">
        <v>433</v>
      </c>
      <c r="I186" s="20" t="s">
        <v>429</v>
      </c>
      <c r="J186" s="20" t="s">
        <v>430</v>
      </c>
      <c r="K186" s="21"/>
    </row>
    <row r="187" spans="1:11" ht="15" x14ac:dyDescent="0.25">
      <c r="A187" s="32">
        <v>184</v>
      </c>
      <c r="B187" s="33">
        <v>2489417</v>
      </c>
      <c r="C187" s="33">
        <v>1</v>
      </c>
      <c r="D187" s="33" t="s">
        <v>434</v>
      </c>
      <c r="E187" s="33" t="s">
        <v>432</v>
      </c>
      <c r="F187" s="34">
        <v>5743621.5499999998</v>
      </c>
      <c r="G187" s="19" t="s">
        <v>427</v>
      </c>
      <c r="H187" s="35" t="s">
        <v>433</v>
      </c>
      <c r="I187" s="20" t="s">
        <v>429</v>
      </c>
      <c r="J187" s="20" t="s">
        <v>430</v>
      </c>
      <c r="K187" s="21"/>
    </row>
    <row r="188" spans="1:11" ht="15" x14ac:dyDescent="0.25">
      <c r="A188" s="19">
        <v>185</v>
      </c>
      <c r="B188" s="33">
        <v>2460220</v>
      </c>
      <c r="C188" s="33">
        <v>1</v>
      </c>
      <c r="D188" s="33" t="s">
        <v>439</v>
      </c>
      <c r="E188" s="33" t="s">
        <v>426</v>
      </c>
      <c r="F188" s="34">
        <v>5857717.2999999998</v>
      </c>
      <c r="G188" s="19" t="s">
        <v>427</v>
      </c>
      <c r="H188" s="35" t="s">
        <v>433</v>
      </c>
      <c r="I188" s="20" t="s">
        <v>429</v>
      </c>
      <c r="J188" s="20" t="s">
        <v>430</v>
      </c>
      <c r="K188" s="21"/>
    </row>
    <row r="189" spans="1:11" ht="15" x14ac:dyDescent="0.25">
      <c r="A189" s="19">
        <v>186</v>
      </c>
      <c r="B189" s="33">
        <v>2230959</v>
      </c>
      <c r="C189" s="33">
        <v>1</v>
      </c>
      <c r="D189" s="33" t="s">
        <v>434</v>
      </c>
      <c r="E189" s="33" t="s">
        <v>432</v>
      </c>
      <c r="F189" s="34">
        <v>3096188.62</v>
      </c>
      <c r="G189" s="19" t="s">
        <v>427</v>
      </c>
      <c r="H189" s="35" t="s">
        <v>433</v>
      </c>
      <c r="I189" s="20" t="s">
        <v>429</v>
      </c>
      <c r="J189" s="20" t="s">
        <v>430</v>
      </c>
      <c r="K189" s="21"/>
    </row>
    <row r="190" spans="1:11" ht="15" x14ac:dyDescent="0.25">
      <c r="A190" s="19">
        <v>187</v>
      </c>
      <c r="B190" s="33">
        <v>2492695</v>
      </c>
      <c r="C190" s="33">
        <v>1</v>
      </c>
      <c r="D190" s="33" t="s">
        <v>434</v>
      </c>
      <c r="E190" s="33" t="s">
        <v>432</v>
      </c>
      <c r="F190" s="34">
        <v>10706728.380000001</v>
      </c>
      <c r="G190" s="19" t="s">
        <v>427</v>
      </c>
      <c r="H190" s="35" t="s">
        <v>433</v>
      </c>
      <c r="I190" s="20" t="s">
        <v>429</v>
      </c>
      <c r="J190" s="20" t="s">
        <v>430</v>
      </c>
      <c r="K190" s="21"/>
    </row>
    <row r="191" spans="1:11" ht="15" x14ac:dyDescent="0.25">
      <c r="A191" s="19">
        <v>188</v>
      </c>
      <c r="B191" s="33">
        <v>2521742</v>
      </c>
      <c r="C191" s="33">
        <v>1</v>
      </c>
      <c r="D191" s="33" t="s">
        <v>439</v>
      </c>
      <c r="E191" s="33" t="s">
        <v>432</v>
      </c>
      <c r="F191" s="34">
        <v>12283647.85</v>
      </c>
      <c r="G191" s="19" t="s">
        <v>427</v>
      </c>
      <c r="H191" s="19" t="s">
        <v>428</v>
      </c>
      <c r="I191" s="20" t="s">
        <v>429</v>
      </c>
      <c r="J191" s="20" t="s">
        <v>430</v>
      </c>
      <c r="K191" s="21"/>
    </row>
    <row r="192" spans="1:11" ht="15" x14ac:dyDescent="0.25">
      <c r="A192" s="19">
        <v>189</v>
      </c>
      <c r="B192" s="33">
        <v>2466973</v>
      </c>
      <c r="C192" s="33">
        <v>1</v>
      </c>
      <c r="D192" s="33" t="s">
        <v>425</v>
      </c>
      <c r="E192" s="33" t="s">
        <v>426</v>
      </c>
      <c r="F192" s="34">
        <v>6348187.9800000004</v>
      </c>
      <c r="G192" s="19" t="s">
        <v>427</v>
      </c>
      <c r="H192" s="35" t="s">
        <v>433</v>
      </c>
      <c r="I192" s="20" t="s">
        <v>429</v>
      </c>
      <c r="J192" s="20" t="s">
        <v>430</v>
      </c>
      <c r="K192" s="21"/>
    </row>
    <row r="193" spans="1:11" ht="15" x14ac:dyDescent="0.25">
      <c r="A193" s="32">
        <v>190</v>
      </c>
      <c r="B193" s="33">
        <v>2445986</v>
      </c>
      <c r="C193" s="33">
        <v>1</v>
      </c>
      <c r="D193" s="33" t="s">
        <v>425</v>
      </c>
      <c r="E193" s="33" t="s">
        <v>426</v>
      </c>
      <c r="F193" s="34">
        <v>4539464.79</v>
      </c>
      <c r="G193" s="19" t="s">
        <v>427</v>
      </c>
      <c r="H193" s="35" t="s">
        <v>433</v>
      </c>
      <c r="I193" s="20" t="s">
        <v>429</v>
      </c>
      <c r="J193" s="20" t="s">
        <v>430</v>
      </c>
      <c r="K193" s="21"/>
    </row>
    <row r="194" spans="1:11" ht="15" x14ac:dyDescent="0.25">
      <c r="A194" s="32">
        <v>191</v>
      </c>
      <c r="B194" s="33">
        <v>2435428</v>
      </c>
      <c r="C194" s="33">
        <v>1</v>
      </c>
      <c r="D194" s="33" t="s">
        <v>425</v>
      </c>
      <c r="E194" s="33" t="s">
        <v>426</v>
      </c>
      <c r="F194" s="34">
        <v>11166051.85</v>
      </c>
      <c r="G194" s="19" t="s">
        <v>427</v>
      </c>
      <c r="H194" s="35" t="s">
        <v>433</v>
      </c>
      <c r="I194" s="20" t="s">
        <v>429</v>
      </c>
      <c r="J194" s="20" t="s">
        <v>430</v>
      </c>
      <c r="K194" s="21"/>
    </row>
    <row r="195" spans="1:11" ht="15" x14ac:dyDescent="0.25">
      <c r="A195" s="32">
        <v>192</v>
      </c>
      <c r="B195" s="33">
        <v>2452267</v>
      </c>
      <c r="C195" s="33">
        <v>1</v>
      </c>
      <c r="D195" s="33" t="s">
        <v>425</v>
      </c>
      <c r="E195" s="33" t="s">
        <v>426</v>
      </c>
      <c r="F195" s="34">
        <v>13427557.960000001</v>
      </c>
      <c r="G195" s="19" t="s">
        <v>427</v>
      </c>
      <c r="H195" s="35" t="s">
        <v>433</v>
      </c>
      <c r="I195" s="20" t="s">
        <v>429</v>
      </c>
      <c r="J195" s="20" t="s">
        <v>430</v>
      </c>
      <c r="K195" s="21"/>
    </row>
    <row r="196" spans="1:11" ht="15" x14ac:dyDescent="0.25">
      <c r="A196" s="32">
        <v>193</v>
      </c>
      <c r="B196" s="33">
        <v>2589514</v>
      </c>
      <c r="C196" s="33">
        <v>1</v>
      </c>
      <c r="D196" s="33" t="s">
        <v>425</v>
      </c>
      <c r="E196" s="33" t="s">
        <v>426</v>
      </c>
      <c r="F196" s="34">
        <v>4065474.48</v>
      </c>
      <c r="G196" s="19" t="s">
        <v>427</v>
      </c>
      <c r="H196" s="19" t="s">
        <v>428</v>
      </c>
      <c r="I196" s="20" t="s">
        <v>429</v>
      </c>
      <c r="J196" s="20" t="s">
        <v>430</v>
      </c>
      <c r="K196" s="21"/>
    </row>
    <row r="197" spans="1:11" ht="15" x14ac:dyDescent="0.25">
      <c r="A197" s="19">
        <v>194</v>
      </c>
      <c r="B197" s="33">
        <v>2267584</v>
      </c>
      <c r="C197" s="33">
        <v>1</v>
      </c>
      <c r="D197" s="33" t="s">
        <v>425</v>
      </c>
      <c r="E197" s="33" t="s">
        <v>426</v>
      </c>
      <c r="F197" s="34">
        <v>21324675.309999999</v>
      </c>
      <c r="G197" s="19" t="s">
        <v>427</v>
      </c>
      <c r="H197" s="35" t="s">
        <v>433</v>
      </c>
      <c r="I197" s="20" t="s">
        <v>429</v>
      </c>
      <c r="J197" s="20" t="s">
        <v>430</v>
      </c>
      <c r="K197" s="21"/>
    </row>
    <row r="198" spans="1:11" ht="15" x14ac:dyDescent="0.25">
      <c r="A198" s="19">
        <v>195</v>
      </c>
      <c r="B198" s="33">
        <v>2310446</v>
      </c>
      <c r="C198" s="33">
        <v>1</v>
      </c>
      <c r="D198" s="33" t="s">
        <v>425</v>
      </c>
      <c r="E198" s="33" t="s">
        <v>426</v>
      </c>
      <c r="F198" s="34">
        <v>12933255</v>
      </c>
      <c r="G198" s="19" t="s">
        <v>427</v>
      </c>
      <c r="H198" s="19" t="s">
        <v>428</v>
      </c>
      <c r="I198" s="20" t="s">
        <v>429</v>
      </c>
      <c r="J198" s="20" t="s">
        <v>430</v>
      </c>
      <c r="K198" s="21"/>
    </row>
    <row r="199" spans="1:11" ht="15" x14ac:dyDescent="0.25">
      <c r="A199" s="19">
        <v>196</v>
      </c>
      <c r="B199" s="33">
        <v>2466079</v>
      </c>
      <c r="C199" s="33">
        <v>1</v>
      </c>
      <c r="D199" s="33" t="s">
        <v>432</v>
      </c>
      <c r="E199" s="33" t="s">
        <v>432</v>
      </c>
      <c r="F199" s="34">
        <v>8064071.8499999996</v>
      </c>
      <c r="G199" s="19" t="s">
        <v>427</v>
      </c>
      <c r="H199" s="35" t="s">
        <v>433</v>
      </c>
      <c r="I199" s="20" t="s">
        <v>429</v>
      </c>
      <c r="J199" s="20" t="s">
        <v>430</v>
      </c>
      <c r="K199" s="21"/>
    </row>
    <row r="200" spans="1:11" ht="15" x14ac:dyDescent="0.25">
      <c r="A200" s="19">
        <v>197</v>
      </c>
      <c r="B200" s="33">
        <v>2339191</v>
      </c>
      <c r="C200" s="33">
        <v>1</v>
      </c>
      <c r="D200" s="33" t="s">
        <v>432</v>
      </c>
      <c r="E200" s="33" t="s">
        <v>432</v>
      </c>
      <c r="F200" s="34">
        <v>13169538.9</v>
      </c>
      <c r="G200" s="19" t="s">
        <v>427</v>
      </c>
      <c r="H200" s="19" t="s">
        <v>428</v>
      </c>
      <c r="I200" s="20" t="s">
        <v>429</v>
      </c>
      <c r="J200" s="20" t="s">
        <v>430</v>
      </c>
      <c r="K200" s="21"/>
    </row>
    <row r="201" spans="1:11" ht="15" x14ac:dyDescent="0.25">
      <c r="A201" s="19">
        <v>198</v>
      </c>
      <c r="B201" s="33">
        <v>2453198</v>
      </c>
      <c r="C201" s="33">
        <v>1</v>
      </c>
      <c r="D201" s="33" t="s">
        <v>432</v>
      </c>
      <c r="E201" s="33" t="s">
        <v>432</v>
      </c>
      <c r="F201" s="34">
        <v>7290985.3200000003</v>
      </c>
      <c r="G201" s="19" t="s">
        <v>427</v>
      </c>
      <c r="H201" s="19" t="s">
        <v>428</v>
      </c>
      <c r="I201" s="20" t="s">
        <v>429</v>
      </c>
      <c r="J201" s="20" t="s">
        <v>430</v>
      </c>
      <c r="K201" s="21"/>
    </row>
    <row r="202" spans="1:11" ht="15" x14ac:dyDescent="0.25">
      <c r="A202" s="32">
        <v>199</v>
      </c>
      <c r="B202" s="33">
        <v>2309688</v>
      </c>
      <c r="C202" s="36">
        <v>1</v>
      </c>
      <c r="D202" s="33" t="s">
        <v>432</v>
      </c>
      <c r="E202" s="33" t="s">
        <v>432</v>
      </c>
      <c r="F202" s="34">
        <v>3658518.01</v>
      </c>
      <c r="G202" s="19" t="s">
        <v>427</v>
      </c>
      <c r="H202" s="19" t="s">
        <v>428</v>
      </c>
      <c r="I202" s="20" t="s">
        <v>429</v>
      </c>
      <c r="J202" s="20" t="s">
        <v>430</v>
      </c>
      <c r="K202" s="21"/>
    </row>
    <row r="203" spans="1:11" ht="15" x14ac:dyDescent="0.25">
      <c r="A203" s="32">
        <v>200</v>
      </c>
      <c r="B203" s="33">
        <v>2498173</v>
      </c>
      <c r="C203" s="36">
        <v>1</v>
      </c>
      <c r="D203" s="33" t="s">
        <v>432</v>
      </c>
      <c r="E203" s="33" t="s">
        <v>432</v>
      </c>
      <c r="F203" s="34">
        <v>6150662.8799999999</v>
      </c>
      <c r="G203" s="19" t="s">
        <v>427</v>
      </c>
      <c r="H203" s="35" t="s">
        <v>433</v>
      </c>
      <c r="I203" s="20" t="s">
        <v>429</v>
      </c>
      <c r="J203" s="20" t="s">
        <v>430</v>
      </c>
      <c r="K203" s="21"/>
    </row>
    <row r="204" spans="1:11" ht="15" x14ac:dyDescent="0.25">
      <c r="A204" s="32">
        <v>201</v>
      </c>
      <c r="B204" s="33">
        <v>2223750</v>
      </c>
      <c r="C204" s="36">
        <v>1</v>
      </c>
      <c r="D204" s="33" t="s">
        <v>432</v>
      </c>
      <c r="E204" s="33" t="s">
        <v>432</v>
      </c>
      <c r="F204" s="34">
        <v>14370165.630000001</v>
      </c>
      <c r="G204" s="19" t="s">
        <v>427</v>
      </c>
      <c r="H204" s="35" t="s">
        <v>433</v>
      </c>
      <c r="I204" s="20" t="s">
        <v>429</v>
      </c>
      <c r="J204" s="20" t="s">
        <v>430</v>
      </c>
      <c r="K204" s="21"/>
    </row>
    <row r="205" spans="1:11" ht="15" x14ac:dyDescent="0.25">
      <c r="A205" s="32">
        <v>202</v>
      </c>
      <c r="B205" s="33">
        <v>2493029</v>
      </c>
      <c r="C205" s="36">
        <v>1</v>
      </c>
      <c r="D205" s="33" t="s">
        <v>432</v>
      </c>
      <c r="E205" s="33" t="s">
        <v>432</v>
      </c>
      <c r="F205" s="34">
        <v>11057607.619999999</v>
      </c>
      <c r="G205" s="19" t="s">
        <v>427</v>
      </c>
      <c r="H205" s="19" t="s">
        <v>428</v>
      </c>
      <c r="I205" s="20" t="s">
        <v>429</v>
      </c>
      <c r="J205" s="20" t="s">
        <v>430</v>
      </c>
      <c r="K205" s="21"/>
    </row>
    <row r="206" spans="1:11" ht="15" x14ac:dyDescent="0.25">
      <c r="A206" s="19">
        <v>203</v>
      </c>
      <c r="B206" s="33">
        <v>2493391</v>
      </c>
      <c r="C206" s="36">
        <v>1</v>
      </c>
      <c r="D206" s="33" t="s">
        <v>432</v>
      </c>
      <c r="E206" s="33" t="s">
        <v>432</v>
      </c>
      <c r="F206" s="34">
        <v>4270505.24</v>
      </c>
      <c r="G206" s="19" t="s">
        <v>427</v>
      </c>
      <c r="H206" s="35" t="s">
        <v>433</v>
      </c>
      <c r="I206" s="20" t="s">
        <v>429</v>
      </c>
      <c r="J206" s="20" t="s">
        <v>430</v>
      </c>
      <c r="K206" s="21"/>
    </row>
    <row r="207" spans="1:11" ht="15" x14ac:dyDescent="0.25">
      <c r="A207" s="19">
        <v>204</v>
      </c>
      <c r="B207" s="33">
        <v>2301739</v>
      </c>
      <c r="C207" s="36">
        <v>1</v>
      </c>
      <c r="D207" s="33" t="s">
        <v>432</v>
      </c>
      <c r="E207" s="33" t="s">
        <v>432</v>
      </c>
      <c r="F207" s="34">
        <v>5773159.21</v>
      </c>
      <c r="G207" s="19" t="s">
        <v>427</v>
      </c>
      <c r="H207" s="19" t="s">
        <v>428</v>
      </c>
      <c r="I207" s="20" t="s">
        <v>429</v>
      </c>
      <c r="J207" s="20" t="s">
        <v>430</v>
      </c>
      <c r="K207" s="21"/>
    </row>
    <row r="208" spans="1:11" ht="15" x14ac:dyDescent="0.25">
      <c r="A208" s="19">
        <v>205</v>
      </c>
      <c r="B208" s="33">
        <v>2589704</v>
      </c>
      <c r="C208" s="36">
        <v>1</v>
      </c>
      <c r="D208" s="33" t="s">
        <v>432</v>
      </c>
      <c r="E208" s="33" t="s">
        <v>432</v>
      </c>
      <c r="F208" s="34">
        <v>12009068.09</v>
      </c>
      <c r="G208" s="19" t="s">
        <v>427</v>
      </c>
      <c r="H208" s="19" t="s">
        <v>428</v>
      </c>
      <c r="I208" s="20" t="s">
        <v>429</v>
      </c>
      <c r="J208" s="20" t="s">
        <v>430</v>
      </c>
      <c r="K208" s="21"/>
    </row>
    <row r="209" spans="1:11" ht="15" x14ac:dyDescent="0.25">
      <c r="A209" s="19">
        <v>206</v>
      </c>
      <c r="B209" s="33">
        <v>2590074</v>
      </c>
      <c r="C209" s="36">
        <v>1</v>
      </c>
      <c r="D209" s="33" t="s">
        <v>432</v>
      </c>
      <c r="E209" s="33" t="s">
        <v>432</v>
      </c>
      <c r="F209" s="34">
        <v>6021553.7199999997</v>
      </c>
      <c r="G209" s="19" t="s">
        <v>427</v>
      </c>
      <c r="H209" s="19" t="s">
        <v>428</v>
      </c>
      <c r="I209" s="20" t="s">
        <v>429</v>
      </c>
      <c r="J209" s="20" t="s">
        <v>430</v>
      </c>
      <c r="K209" s="21"/>
    </row>
    <row r="210" spans="1:11" ht="15" x14ac:dyDescent="0.25">
      <c r="A210" s="19">
        <v>207</v>
      </c>
      <c r="B210" s="33">
        <v>2482265</v>
      </c>
      <c r="C210" s="36">
        <v>1</v>
      </c>
      <c r="D210" s="33" t="s">
        <v>432</v>
      </c>
      <c r="E210" s="33" t="s">
        <v>432</v>
      </c>
      <c r="F210" s="34">
        <v>10941352.01</v>
      </c>
      <c r="G210" s="19" t="s">
        <v>427</v>
      </c>
      <c r="H210" s="19" t="s">
        <v>428</v>
      </c>
      <c r="I210" s="20" t="s">
        <v>429</v>
      </c>
      <c r="J210" s="20" t="s">
        <v>430</v>
      </c>
      <c r="K210" s="21"/>
    </row>
    <row r="211" spans="1:11" ht="15" x14ac:dyDescent="0.25">
      <c r="A211" s="32">
        <v>208</v>
      </c>
      <c r="B211" s="33">
        <v>2599357</v>
      </c>
      <c r="C211" s="36">
        <v>1</v>
      </c>
      <c r="D211" s="33" t="s">
        <v>432</v>
      </c>
      <c r="E211" s="33" t="s">
        <v>432</v>
      </c>
      <c r="F211" s="34">
        <v>14917455.810000001</v>
      </c>
      <c r="G211" s="19" t="s">
        <v>427</v>
      </c>
      <c r="H211" s="35" t="s">
        <v>433</v>
      </c>
      <c r="I211" s="20" t="s">
        <v>429</v>
      </c>
      <c r="J211" s="20" t="s">
        <v>430</v>
      </c>
      <c r="K211" s="21"/>
    </row>
    <row r="212" spans="1:11" ht="15" x14ac:dyDescent="0.25">
      <c r="A212" s="32">
        <v>209</v>
      </c>
      <c r="B212" s="33">
        <v>2285188</v>
      </c>
      <c r="C212" s="36">
        <v>1</v>
      </c>
      <c r="D212" s="33" t="s">
        <v>432</v>
      </c>
      <c r="E212" s="33" t="s">
        <v>432</v>
      </c>
      <c r="F212" s="34">
        <v>14958590.609999999</v>
      </c>
      <c r="G212" s="19" t="s">
        <v>427</v>
      </c>
      <c r="H212" s="19" t="s">
        <v>428</v>
      </c>
      <c r="I212" s="20" t="s">
        <v>429</v>
      </c>
      <c r="J212" s="20" t="s">
        <v>430</v>
      </c>
      <c r="K212" s="21"/>
    </row>
    <row r="213" spans="1:11" ht="15" x14ac:dyDescent="0.25">
      <c r="A213" s="32">
        <v>210</v>
      </c>
      <c r="B213" s="33">
        <v>2576268</v>
      </c>
      <c r="C213" s="36">
        <v>1</v>
      </c>
      <c r="D213" s="33" t="s">
        <v>432</v>
      </c>
      <c r="E213" s="33" t="s">
        <v>432</v>
      </c>
      <c r="F213" s="34">
        <v>3830554</v>
      </c>
      <c r="G213" s="19" t="s">
        <v>427</v>
      </c>
      <c r="H213" s="35" t="s">
        <v>433</v>
      </c>
      <c r="I213" s="20" t="s">
        <v>429</v>
      </c>
      <c r="J213" s="20" t="s">
        <v>430</v>
      </c>
      <c r="K213" s="21"/>
    </row>
    <row r="214" spans="1:11" ht="15" x14ac:dyDescent="0.25">
      <c r="A214" s="32">
        <v>211</v>
      </c>
      <c r="B214" s="33">
        <v>2333051</v>
      </c>
      <c r="C214" s="36">
        <v>1</v>
      </c>
      <c r="D214" s="33" t="s">
        <v>432</v>
      </c>
      <c r="E214" s="33" t="s">
        <v>432</v>
      </c>
      <c r="F214" s="34">
        <v>15342962.84</v>
      </c>
      <c r="G214" s="19" t="s">
        <v>427</v>
      </c>
      <c r="H214" s="19" t="s">
        <v>428</v>
      </c>
      <c r="I214" s="20" t="s">
        <v>429</v>
      </c>
      <c r="J214" s="20" t="s">
        <v>430</v>
      </c>
      <c r="K214" s="21"/>
    </row>
    <row r="215" spans="1:11" ht="15" x14ac:dyDescent="0.25">
      <c r="A215" s="19">
        <v>212</v>
      </c>
      <c r="B215" s="33">
        <v>2589435</v>
      </c>
      <c r="C215" s="36">
        <v>1</v>
      </c>
      <c r="D215" s="33" t="s">
        <v>432</v>
      </c>
      <c r="E215" s="33" t="s">
        <v>432</v>
      </c>
      <c r="F215" s="34">
        <v>13099334.25</v>
      </c>
      <c r="G215" s="19" t="s">
        <v>427</v>
      </c>
      <c r="H215" s="19" t="s">
        <v>428</v>
      </c>
      <c r="I215" s="20" t="s">
        <v>429</v>
      </c>
      <c r="J215" s="20" t="s">
        <v>430</v>
      </c>
      <c r="K215" s="21"/>
    </row>
    <row r="216" spans="1:11" ht="15" x14ac:dyDescent="0.25">
      <c r="A216" s="19">
        <v>213</v>
      </c>
      <c r="B216" s="33">
        <v>2234797</v>
      </c>
      <c r="C216" s="36">
        <v>1</v>
      </c>
      <c r="D216" s="33" t="s">
        <v>432</v>
      </c>
      <c r="E216" s="33" t="s">
        <v>432</v>
      </c>
      <c r="F216" s="34">
        <v>9198139.6300000008</v>
      </c>
      <c r="G216" s="19" t="s">
        <v>427</v>
      </c>
      <c r="H216" s="19" t="s">
        <v>428</v>
      </c>
      <c r="I216" s="20" t="s">
        <v>429</v>
      </c>
      <c r="J216" s="20" t="s">
        <v>430</v>
      </c>
      <c r="K216" s="21"/>
    </row>
    <row r="217" spans="1:11" ht="15" x14ac:dyDescent="0.25">
      <c r="A217" s="19">
        <v>214</v>
      </c>
      <c r="B217" s="33">
        <v>2463865</v>
      </c>
      <c r="C217" s="33">
        <v>1</v>
      </c>
      <c r="D217" s="33" t="s">
        <v>426</v>
      </c>
      <c r="E217" s="33" t="s">
        <v>426</v>
      </c>
      <c r="F217" s="34">
        <v>7987357.9500000002</v>
      </c>
      <c r="G217" s="19" t="s">
        <v>427</v>
      </c>
      <c r="H217" s="19" t="s">
        <v>428</v>
      </c>
      <c r="I217" s="20" t="s">
        <v>429</v>
      </c>
      <c r="J217" s="20" t="s">
        <v>430</v>
      </c>
      <c r="K217" s="21"/>
    </row>
    <row r="218" spans="1:11" ht="15" x14ac:dyDescent="0.25">
      <c r="A218" s="19">
        <v>215</v>
      </c>
      <c r="B218" s="33">
        <v>2533139</v>
      </c>
      <c r="C218" s="36">
        <v>1</v>
      </c>
      <c r="D218" s="33" t="s">
        <v>432</v>
      </c>
      <c r="E218" s="33" t="s">
        <v>432</v>
      </c>
      <c r="F218" s="34">
        <v>6019466.1699999999</v>
      </c>
      <c r="G218" s="19" t="s">
        <v>427</v>
      </c>
      <c r="H218" s="19" t="s">
        <v>428</v>
      </c>
      <c r="I218" s="20" t="s">
        <v>429</v>
      </c>
      <c r="J218" s="20" t="s">
        <v>430</v>
      </c>
      <c r="K218" s="21"/>
    </row>
    <row r="219" spans="1:11" ht="15" x14ac:dyDescent="0.25">
      <c r="A219" s="19">
        <v>216</v>
      </c>
      <c r="B219" s="33">
        <v>2605632</v>
      </c>
      <c r="C219" s="36">
        <v>1</v>
      </c>
      <c r="D219" s="33" t="s">
        <v>432</v>
      </c>
      <c r="E219" s="33" t="s">
        <v>432</v>
      </c>
      <c r="F219" s="34">
        <v>9723521.2400000002</v>
      </c>
      <c r="G219" s="19" t="s">
        <v>427</v>
      </c>
      <c r="H219" s="19" t="s">
        <v>428</v>
      </c>
      <c r="I219" s="20" t="s">
        <v>429</v>
      </c>
      <c r="J219" s="20" t="s">
        <v>430</v>
      </c>
      <c r="K219" s="21"/>
    </row>
    <row r="220" spans="1:11" ht="15" x14ac:dyDescent="0.25">
      <c r="A220" s="32">
        <v>217</v>
      </c>
      <c r="B220" s="33">
        <v>2573118</v>
      </c>
      <c r="C220" s="36">
        <v>1</v>
      </c>
      <c r="D220" s="33" t="s">
        <v>432</v>
      </c>
      <c r="E220" s="33" t="s">
        <v>432</v>
      </c>
      <c r="F220" s="34">
        <v>2497820.58</v>
      </c>
      <c r="G220" s="19" t="s">
        <v>427</v>
      </c>
      <c r="H220" s="35" t="s">
        <v>433</v>
      </c>
      <c r="I220" s="20" t="s">
        <v>429</v>
      </c>
      <c r="J220" s="20" t="s">
        <v>430</v>
      </c>
      <c r="K220" s="21"/>
    </row>
    <row r="221" spans="1:11" ht="15" x14ac:dyDescent="0.25">
      <c r="A221" s="32">
        <v>218</v>
      </c>
      <c r="B221" s="33">
        <v>2280055</v>
      </c>
      <c r="C221" s="33">
        <v>1</v>
      </c>
      <c r="D221" s="33" t="s">
        <v>437</v>
      </c>
      <c r="E221" s="33" t="s">
        <v>426</v>
      </c>
      <c r="F221" s="34">
        <v>1202730.72</v>
      </c>
      <c r="G221" s="19" t="s">
        <v>427</v>
      </c>
      <c r="H221" s="35" t="s">
        <v>433</v>
      </c>
      <c r="I221" s="20" t="s">
        <v>429</v>
      </c>
      <c r="J221" s="20" t="s">
        <v>430</v>
      </c>
      <c r="K221" s="21"/>
    </row>
    <row r="222" spans="1:11" ht="15" x14ac:dyDescent="0.25">
      <c r="A222" s="32">
        <v>219</v>
      </c>
      <c r="B222" s="33">
        <v>2469731</v>
      </c>
      <c r="C222" s="33">
        <v>1</v>
      </c>
      <c r="D222" s="33" t="s">
        <v>437</v>
      </c>
      <c r="E222" s="33" t="s">
        <v>426</v>
      </c>
      <c r="F222" s="34">
        <v>5264963.62</v>
      </c>
      <c r="G222" s="19" t="s">
        <v>427</v>
      </c>
      <c r="H222" s="19" t="s">
        <v>428</v>
      </c>
      <c r="I222" s="20" t="s">
        <v>429</v>
      </c>
      <c r="J222" s="20" t="s">
        <v>430</v>
      </c>
      <c r="K222" s="21"/>
    </row>
    <row r="223" spans="1:11" ht="15" x14ac:dyDescent="0.25">
      <c r="A223" s="32">
        <v>220</v>
      </c>
      <c r="B223" s="33">
        <v>2223497</v>
      </c>
      <c r="C223" s="33">
        <v>1</v>
      </c>
      <c r="D223" s="33" t="s">
        <v>437</v>
      </c>
      <c r="E223" s="33" t="s">
        <v>426</v>
      </c>
      <c r="F223" s="34">
        <v>7499859.6799999997</v>
      </c>
      <c r="G223" s="19" t="s">
        <v>427</v>
      </c>
      <c r="H223" s="19" t="s">
        <v>428</v>
      </c>
      <c r="I223" s="20" t="s">
        <v>429</v>
      </c>
      <c r="J223" s="20" t="s">
        <v>430</v>
      </c>
      <c r="K223" s="21"/>
    </row>
    <row r="224" spans="1:11" ht="15" x14ac:dyDescent="0.25">
      <c r="A224" s="19">
        <v>221</v>
      </c>
      <c r="B224" s="33">
        <v>2502529</v>
      </c>
      <c r="C224" s="33">
        <v>1</v>
      </c>
      <c r="D224" s="33" t="s">
        <v>437</v>
      </c>
      <c r="E224" s="33" t="s">
        <v>426</v>
      </c>
      <c r="F224" s="34">
        <v>2842212.78</v>
      </c>
      <c r="G224" s="19" t="s">
        <v>427</v>
      </c>
      <c r="H224" s="35" t="s">
        <v>433</v>
      </c>
      <c r="I224" s="20" t="s">
        <v>429</v>
      </c>
      <c r="J224" s="20" t="s">
        <v>430</v>
      </c>
      <c r="K224" s="21"/>
    </row>
    <row r="225" spans="1:11" ht="15" x14ac:dyDescent="0.25">
      <c r="A225" s="19">
        <v>222</v>
      </c>
      <c r="B225" s="33">
        <v>2335223</v>
      </c>
      <c r="C225" s="33">
        <v>1</v>
      </c>
      <c r="D225" s="33" t="s">
        <v>437</v>
      </c>
      <c r="E225" s="33" t="s">
        <v>426</v>
      </c>
      <c r="F225" s="34">
        <v>37716741.200000003</v>
      </c>
      <c r="G225" s="19" t="s">
        <v>427</v>
      </c>
      <c r="H225" s="35" t="s">
        <v>433</v>
      </c>
      <c r="I225" s="20" t="s">
        <v>429</v>
      </c>
      <c r="J225" s="20" t="s">
        <v>430</v>
      </c>
      <c r="K225" s="21"/>
    </row>
    <row r="226" spans="1:11" ht="15" x14ac:dyDescent="0.25">
      <c r="A226" s="19">
        <v>223</v>
      </c>
      <c r="B226" s="33">
        <v>2353322</v>
      </c>
      <c r="C226" s="33">
        <v>1</v>
      </c>
      <c r="D226" s="33" t="s">
        <v>434</v>
      </c>
      <c r="E226" s="33" t="s">
        <v>432</v>
      </c>
      <c r="F226" s="34">
        <v>42296140.219999999</v>
      </c>
      <c r="G226" s="19" t="s">
        <v>427</v>
      </c>
      <c r="H226" s="35" t="s">
        <v>433</v>
      </c>
      <c r="I226" s="20" t="s">
        <v>429</v>
      </c>
      <c r="J226" s="20" t="s">
        <v>430</v>
      </c>
      <c r="K226" s="21"/>
    </row>
    <row r="227" spans="1:11" ht="15" x14ac:dyDescent="0.25">
      <c r="A227" s="19">
        <v>224</v>
      </c>
      <c r="B227" s="33">
        <v>2357752</v>
      </c>
      <c r="C227" s="33">
        <v>1</v>
      </c>
      <c r="D227" s="33" t="s">
        <v>425</v>
      </c>
      <c r="E227" s="33" t="s">
        <v>426</v>
      </c>
      <c r="F227" s="34">
        <v>11727084.33</v>
      </c>
      <c r="G227" s="19" t="s">
        <v>427</v>
      </c>
      <c r="H227" s="19" t="s">
        <v>428</v>
      </c>
      <c r="I227" s="20" t="s">
        <v>429</v>
      </c>
      <c r="J227" s="20" t="s">
        <v>430</v>
      </c>
      <c r="K227" s="21"/>
    </row>
    <row r="228" spans="1:11" ht="15" x14ac:dyDescent="0.25">
      <c r="A228" s="19">
        <v>225</v>
      </c>
      <c r="B228" s="33">
        <v>2257760</v>
      </c>
      <c r="C228" s="33">
        <v>1</v>
      </c>
      <c r="D228" s="33" t="s">
        <v>425</v>
      </c>
      <c r="E228" s="33" t="s">
        <v>426</v>
      </c>
      <c r="F228" s="34">
        <v>30737565.359999999</v>
      </c>
      <c r="G228" s="19" t="s">
        <v>427</v>
      </c>
      <c r="H228" s="35" t="s">
        <v>433</v>
      </c>
      <c r="I228" s="20" t="s">
        <v>429</v>
      </c>
      <c r="J228" s="20" t="s">
        <v>430</v>
      </c>
      <c r="K228" s="21"/>
    </row>
    <row r="229" spans="1:11" ht="15" x14ac:dyDescent="0.25">
      <c r="A229" s="32">
        <v>226</v>
      </c>
      <c r="B229" s="33">
        <v>2482625</v>
      </c>
      <c r="C229" s="33">
        <v>1</v>
      </c>
      <c r="D229" s="33" t="s">
        <v>425</v>
      </c>
      <c r="E229" s="33" t="s">
        <v>426</v>
      </c>
      <c r="F229" s="34">
        <v>17923110.870000001</v>
      </c>
      <c r="G229" s="19" t="s">
        <v>427</v>
      </c>
      <c r="H229" s="35" t="s">
        <v>433</v>
      </c>
      <c r="I229" s="20" t="s">
        <v>429</v>
      </c>
      <c r="J229" s="20" t="s">
        <v>430</v>
      </c>
      <c r="K229" s="21"/>
    </row>
    <row r="230" spans="1:11" ht="15" x14ac:dyDescent="0.25">
      <c r="A230" s="32">
        <v>227</v>
      </c>
      <c r="B230" s="33">
        <v>2468863</v>
      </c>
      <c r="C230" s="33">
        <v>1</v>
      </c>
      <c r="D230" s="33" t="s">
        <v>432</v>
      </c>
      <c r="E230" s="33" t="s">
        <v>432</v>
      </c>
      <c r="F230" s="34">
        <v>2560118.67</v>
      </c>
      <c r="G230" s="19" t="s">
        <v>427</v>
      </c>
      <c r="H230" s="19" t="s">
        <v>428</v>
      </c>
      <c r="I230" s="20" t="s">
        <v>429</v>
      </c>
      <c r="J230" s="20" t="s">
        <v>430</v>
      </c>
      <c r="K230" s="21"/>
    </row>
    <row r="231" spans="1:11" ht="15" x14ac:dyDescent="0.25">
      <c r="A231" s="32">
        <v>228</v>
      </c>
      <c r="B231" s="33">
        <v>2614513</v>
      </c>
      <c r="C231" s="36">
        <v>1</v>
      </c>
      <c r="D231" s="33" t="s">
        <v>432</v>
      </c>
      <c r="E231" s="33" t="s">
        <v>432</v>
      </c>
      <c r="F231" s="34">
        <v>15885024.199999999</v>
      </c>
      <c r="G231" s="19" t="s">
        <v>427</v>
      </c>
      <c r="H231" s="19" t="s">
        <v>428</v>
      </c>
      <c r="I231" s="20" t="s">
        <v>429</v>
      </c>
      <c r="J231" s="20" t="s">
        <v>430</v>
      </c>
      <c r="K231" s="21"/>
    </row>
    <row r="232" spans="1:11" ht="15" x14ac:dyDescent="0.25">
      <c r="A232" s="32">
        <v>229</v>
      </c>
      <c r="B232" s="33">
        <v>2344177</v>
      </c>
      <c r="C232" s="36">
        <v>1</v>
      </c>
      <c r="D232" s="33" t="s">
        <v>432</v>
      </c>
      <c r="E232" s="33" t="s">
        <v>432</v>
      </c>
      <c r="F232" s="34">
        <v>10558436.02</v>
      </c>
      <c r="G232" s="19" t="s">
        <v>427</v>
      </c>
      <c r="H232" s="19" t="s">
        <v>428</v>
      </c>
      <c r="I232" s="20" t="s">
        <v>429</v>
      </c>
      <c r="J232" s="20" t="s">
        <v>430</v>
      </c>
      <c r="K232" s="21"/>
    </row>
    <row r="233" spans="1:11" ht="15" x14ac:dyDescent="0.25">
      <c r="A233" s="19">
        <v>230</v>
      </c>
      <c r="B233" s="33">
        <v>2614370</v>
      </c>
      <c r="C233" s="36">
        <v>1</v>
      </c>
      <c r="D233" s="33" t="s">
        <v>432</v>
      </c>
      <c r="E233" s="33" t="s">
        <v>432</v>
      </c>
      <c r="F233" s="34">
        <v>16175422.199999999</v>
      </c>
      <c r="G233" s="19" t="s">
        <v>427</v>
      </c>
      <c r="H233" s="19" t="s">
        <v>428</v>
      </c>
      <c r="I233" s="20" t="s">
        <v>429</v>
      </c>
      <c r="J233" s="20" t="s">
        <v>430</v>
      </c>
      <c r="K233" s="21"/>
    </row>
    <row r="234" spans="1:11" ht="15" x14ac:dyDescent="0.25">
      <c r="A234" s="19">
        <v>231</v>
      </c>
      <c r="B234" s="33">
        <v>2204469</v>
      </c>
      <c r="C234" s="33">
        <v>1</v>
      </c>
      <c r="D234" s="33" t="s">
        <v>426</v>
      </c>
      <c r="E234" s="33" t="s">
        <v>426</v>
      </c>
      <c r="F234" s="34">
        <v>19641496.059999999</v>
      </c>
      <c r="G234" s="19" t="s">
        <v>427</v>
      </c>
      <c r="H234" s="19" t="s">
        <v>428</v>
      </c>
      <c r="I234" s="20" t="s">
        <v>429</v>
      </c>
      <c r="J234" s="20" t="s">
        <v>430</v>
      </c>
      <c r="K234" s="21"/>
    </row>
    <row r="235" spans="1:11" ht="15" x14ac:dyDescent="0.25">
      <c r="A235" s="19">
        <v>232</v>
      </c>
      <c r="B235" s="33">
        <v>2512620</v>
      </c>
      <c r="C235" s="33">
        <v>1</v>
      </c>
      <c r="D235" s="33" t="s">
        <v>435</v>
      </c>
      <c r="E235" s="33" t="s">
        <v>432</v>
      </c>
      <c r="F235" s="34">
        <v>6051649.8700000001</v>
      </c>
      <c r="G235" s="19" t="s">
        <v>427</v>
      </c>
      <c r="H235" s="35" t="s">
        <v>433</v>
      </c>
      <c r="I235" s="20" t="s">
        <v>429</v>
      </c>
      <c r="J235" s="20" t="s">
        <v>430</v>
      </c>
      <c r="K235" s="21"/>
    </row>
    <row r="236" spans="1:11" ht="15" x14ac:dyDescent="0.25">
      <c r="A236" s="19">
        <v>233</v>
      </c>
      <c r="B236" s="36">
        <v>2619297</v>
      </c>
      <c r="C236" s="33">
        <v>1</v>
      </c>
      <c r="D236" s="33" t="s">
        <v>426</v>
      </c>
      <c r="E236" s="33" t="s">
        <v>426</v>
      </c>
      <c r="F236" s="34">
        <v>9923806.8699999992</v>
      </c>
      <c r="G236" s="19" t="s">
        <v>427</v>
      </c>
      <c r="H236" s="19" t="s">
        <v>428</v>
      </c>
      <c r="I236" s="20" t="s">
        <v>429</v>
      </c>
      <c r="J236" s="20" t="s">
        <v>430</v>
      </c>
      <c r="K236" s="21"/>
    </row>
    <row r="237" spans="1:11" ht="15" x14ac:dyDescent="0.25">
      <c r="A237" s="19">
        <v>234</v>
      </c>
      <c r="B237" s="36">
        <v>2630543</v>
      </c>
      <c r="C237" s="33">
        <v>1</v>
      </c>
      <c r="D237" s="33" t="s">
        <v>426</v>
      </c>
      <c r="E237" s="33" t="s">
        <v>426</v>
      </c>
      <c r="F237" s="34">
        <v>9206834.7200000007</v>
      </c>
      <c r="G237" s="19" t="s">
        <v>427</v>
      </c>
      <c r="H237" s="19" t="s">
        <v>428</v>
      </c>
      <c r="I237" s="20" t="s">
        <v>429</v>
      </c>
      <c r="J237" s="20" t="s">
        <v>430</v>
      </c>
      <c r="K237" s="21"/>
    </row>
    <row r="238" spans="1:11" ht="15" x14ac:dyDescent="0.25">
      <c r="A238" s="32">
        <v>235</v>
      </c>
      <c r="B238" s="36">
        <v>2615921</v>
      </c>
      <c r="C238" s="33">
        <v>1</v>
      </c>
      <c r="D238" s="33" t="s">
        <v>426</v>
      </c>
      <c r="E238" s="33" t="s">
        <v>426</v>
      </c>
      <c r="F238" s="34">
        <v>86785734.890000001</v>
      </c>
      <c r="G238" s="19" t="s">
        <v>427</v>
      </c>
      <c r="H238" s="19" t="s">
        <v>428</v>
      </c>
      <c r="I238" s="20" t="s">
        <v>429</v>
      </c>
      <c r="J238" s="20" t="s">
        <v>430</v>
      </c>
      <c r="K238" s="21"/>
    </row>
    <row r="239" spans="1:11" ht="15" x14ac:dyDescent="0.25">
      <c r="A239" s="32">
        <v>236</v>
      </c>
      <c r="B239" s="33">
        <v>2561688</v>
      </c>
      <c r="C239" s="33">
        <v>1</v>
      </c>
      <c r="D239" s="33" t="s">
        <v>426</v>
      </c>
      <c r="E239" s="33" t="s">
        <v>426</v>
      </c>
      <c r="F239" s="34">
        <v>11599245.98</v>
      </c>
      <c r="G239" s="19" t="s">
        <v>427</v>
      </c>
      <c r="H239" s="35" t="s">
        <v>433</v>
      </c>
      <c r="I239" s="20" t="s">
        <v>429</v>
      </c>
      <c r="J239" s="20" t="s">
        <v>430</v>
      </c>
      <c r="K239" s="21"/>
    </row>
    <row r="240" spans="1:11" ht="15" x14ac:dyDescent="0.25">
      <c r="A240" s="32">
        <v>237</v>
      </c>
      <c r="B240" s="36">
        <v>2337211</v>
      </c>
      <c r="C240" s="33">
        <v>1</v>
      </c>
      <c r="D240" s="33" t="s">
        <v>426</v>
      </c>
      <c r="E240" s="33" t="s">
        <v>426</v>
      </c>
      <c r="F240" s="34">
        <v>9345039.0199999996</v>
      </c>
      <c r="G240" s="19" t="s">
        <v>427</v>
      </c>
      <c r="H240" s="19" t="s">
        <v>428</v>
      </c>
      <c r="I240" s="20" t="s">
        <v>429</v>
      </c>
      <c r="J240" s="20" t="s">
        <v>430</v>
      </c>
      <c r="K240" s="21"/>
    </row>
    <row r="241" spans="1:11" ht="15" x14ac:dyDescent="0.25">
      <c r="A241" s="32">
        <v>238</v>
      </c>
      <c r="B241" s="36">
        <v>2575172</v>
      </c>
      <c r="C241" s="33">
        <v>1</v>
      </c>
      <c r="D241" s="33" t="s">
        <v>426</v>
      </c>
      <c r="E241" s="33" t="s">
        <v>426</v>
      </c>
      <c r="F241" s="34">
        <v>16728399.810000001</v>
      </c>
      <c r="G241" s="19" t="s">
        <v>427</v>
      </c>
      <c r="H241" s="19" t="s">
        <v>428</v>
      </c>
      <c r="I241" s="20" t="s">
        <v>429</v>
      </c>
      <c r="J241" s="20" t="s">
        <v>430</v>
      </c>
      <c r="K241" s="21"/>
    </row>
    <row r="242" spans="1:11" ht="15" x14ac:dyDescent="0.25">
      <c r="A242" s="19">
        <v>239</v>
      </c>
      <c r="B242" s="36">
        <v>2181780</v>
      </c>
      <c r="C242" s="33">
        <v>1</v>
      </c>
      <c r="D242" s="33" t="s">
        <v>426</v>
      </c>
      <c r="E242" s="33" t="s">
        <v>426</v>
      </c>
      <c r="F242" s="34">
        <v>7296974.4299999997</v>
      </c>
      <c r="G242" s="19" t="s">
        <v>427</v>
      </c>
      <c r="H242" s="19" t="s">
        <v>428</v>
      </c>
      <c r="I242" s="20" t="s">
        <v>429</v>
      </c>
      <c r="J242" s="20" t="s">
        <v>430</v>
      </c>
      <c r="K242" s="21"/>
    </row>
    <row r="243" spans="1:11" ht="15" x14ac:dyDescent="0.25">
      <c r="A243" s="19">
        <v>240</v>
      </c>
      <c r="B243" s="36">
        <v>2610336</v>
      </c>
      <c r="C243" s="33">
        <v>1</v>
      </c>
      <c r="D243" s="33" t="s">
        <v>426</v>
      </c>
      <c r="E243" s="33" t="s">
        <v>426</v>
      </c>
      <c r="F243" s="34">
        <v>29057101.309999999</v>
      </c>
      <c r="G243" s="19" t="s">
        <v>427</v>
      </c>
      <c r="H243" s="35" t="s">
        <v>433</v>
      </c>
      <c r="I243" s="20" t="s">
        <v>429</v>
      </c>
      <c r="J243" s="20" t="s">
        <v>430</v>
      </c>
      <c r="K243" s="21"/>
    </row>
    <row r="244" spans="1:11" ht="15" x14ac:dyDescent="0.25">
      <c r="A244" s="19">
        <v>241</v>
      </c>
      <c r="B244" s="36">
        <v>2592699</v>
      </c>
      <c r="C244" s="33">
        <v>1</v>
      </c>
      <c r="D244" s="33" t="s">
        <v>426</v>
      </c>
      <c r="E244" s="33" t="s">
        <v>426</v>
      </c>
      <c r="F244" s="34">
        <v>3377807.95</v>
      </c>
      <c r="G244" s="19" t="s">
        <v>427</v>
      </c>
      <c r="H244" s="19" t="s">
        <v>428</v>
      </c>
      <c r="I244" s="20" t="s">
        <v>429</v>
      </c>
      <c r="J244" s="20" t="s">
        <v>430</v>
      </c>
      <c r="K244" s="21"/>
    </row>
    <row r="245" spans="1:11" ht="15" x14ac:dyDescent="0.25">
      <c r="A245" s="19">
        <v>242</v>
      </c>
      <c r="B245" s="36">
        <v>2486062</v>
      </c>
      <c r="C245" s="33">
        <v>1</v>
      </c>
      <c r="D245" s="33" t="s">
        <v>426</v>
      </c>
      <c r="E245" s="33" t="s">
        <v>426</v>
      </c>
      <c r="F245" s="34">
        <v>6091766.3799999999</v>
      </c>
      <c r="G245" s="19" t="s">
        <v>427</v>
      </c>
      <c r="H245" s="19" t="s">
        <v>428</v>
      </c>
      <c r="I245" s="20" t="s">
        <v>429</v>
      </c>
      <c r="J245" s="20" t="s">
        <v>430</v>
      </c>
      <c r="K245" s="21"/>
    </row>
    <row r="246" spans="1:11" ht="15" x14ac:dyDescent="0.25">
      <c r="A246" s="19">
        <v>243</v>
      </c>
      <c r="B246" s="36">
        <v>2454361</v>
      </c>
      <c r="C246" s="33">
        <v>2</v>
      </c>
      <c r="D246" s="33" t="s">
        <v>426</v>
      </c>
      <c r="E246" s="33" t="s">
        <v>426</v>
      </c>
      <c r="F246" s="34">
        <v>4894208.5</v>
      </c>
      <c r="G246" s="19" t="s">
        <v>427</v>
      </c>
      <c r="H246" s="19" t="s">
        <v>428</v>
      </c>
      <c r="I246" s="20" t="s">
        <v>429</v>
      </c>
      <c r="J246" s="20" t="s">
        <v>430</v>
      </c>
      <c r="K246" s="21"/>
    </row>
    <row r="247" spans="1:11" ht="15" x14ac:dyDescent="0.25">
      <c r="A247" s="32">
        <v>244</v>
      </c>
      <c r="B247" s="36">
        <v>2614436</v>
      </c>
      <c r="C247" s="33">
        <v>1</v>
      </c>
      <c r="D247" s="33" t="s">
        <v>426</v>
      </c>
      <c r="E247" s="33" t="s">
        <v>426</v>
      </c>
      <c r="F247" s="34">
        <v>14247217.17</v>
      </c>
      <c r="G247" s="19" t="s">
        <v>427</v>
      </c>
      <c r="H247" s="19" t="s">
        <v>428</v>
      </c>
      <c r="I247" s="20" t="s">
        <v>429</v>
      </c>
      <c r="J247" s="20" t="s">
        <v>430</v>
      </c>
      <c r="K247" s="21"/>
    </row>
    <row r="248" spans="1:11" ht="15" x14ac:dyDescent="0.25">
      <c r="A248" s="32">
        <v>245</v>
      </c>
      <c r="B248" s="36">
        <v>2246934</v>
      </c>
      <c r="C248" s="33">
        <v>1</v>
      </c>
      <c r="D248" s="33" t="s">
        <v>426</v>
      </c>
      <c r="E248" s="33" t="s">
        <v>426</v>
      </c>
      <c r="F248" s="34">
        <v>11564427.48</v>
      </c>
      <c r="G248" s="19" t="s">
        <v>427</v>
      </c>
      <c r="H248" s="19" t="s">
        <v>428</v>
      </c>
      <c r="I248" s="20" t="s">
        <v>429</v>
      </c>
      <c r="J248" s="20" t="s">
        <v>430</v>
      </c>
      <c r="K248" s="21"/>
    </row>
    <row r="249" spans="1:11" ht="15" x14ac:dyDescent="0.25">
      <c r="A249" s="32">
        <v>246</v>
      </c>
      <c r="B249" s="36">
        <v>2249639</v>
      </c>
      <c r="C249" s="33">
        <v>1</v>
      </c>
      <c r="D249" s="33" t="s">
        <v>426</v>
      </c>
      <c r="E249" s="33" t="s">
        <v>426</v>
      </c>
      <c r="F249" s="34">
        <v>8074360.1600000001</v>
      </c>
      <c r="G249" s="19" t="s">
        <v>427</v>
      </c>
      <c r="H249" s="19" t="s">
        <v>428</v>
      </c>
      <c r="I249" s="20" t="s">
        <v>429</v>
      </c>
      <c r="J249" s="20" t="s">
        <v>430</v>
      </c>
      <c r="K249" s="21"/>
    </row>
    <row r="250" spans="1:11" ht="15" x14ac:dyDescent="0.25">
      <c r="A250" s="32">
        <v>247</v>
      </c>
      <c r="B250" s="36">
        <v>2576814</v>
      </c>
      <c r="C250" s="33">
        <v>1</v>
      </c>
      <c r="D250" s="33" t="s">
        <v>426</v>
      </c>
      <c r="E250" s="33" t="s">
        <v>426</v>
      </c>
      <c r="F250" s="34">
        <v>14822419.82</v>
      </c>
      <c r="G250" s="19" t="s">
        <v>427</v>
      </c>
      <c r="H250" s="19" t="s">
        <v>428</v>
      </c>
      <c r="I250" s="20" t="s">
        <v>429</v>
      </c>
      <c r="J250" s="20" t="s">
        <v>430</v>
      </c>
      <c r="K250" s="21"/>
    </row>
    <row r="251" spans="1:11" ht="15" x14ac:dyDescent="0.25">
      <c r="A251" s="19">
        <v>248</v>
      </c>
      <c r="B251" s="36">
        <v>2626436</v>
      </c>
      <c r="C251" s="33">
        <v>1</v>
      </c>
      <c r="D251" s="33" t="s">
        <v>426</v>
      </c>
      <c r="E251" s="33" t="s">
        <v>426</v>
      </c>
      <c r="F251" s="34">
        <v>6089121.5</v>
      </c>
      <c r="G251" s="19" t="s">
        <v>427</v>
      </c>
      <c r="H251" s="19" t="s">
        <v>428</v>
      </c>
      <c r="I251" s="20" t="s">
        <v>429</v>
      </c>
      <c r="J251" s="20" t="s">
        <v>430</v>
      </c>
      <c r="K251" s="21"/>
    </row>
    <row r="252" spans="1:11" ht="15" x14ac:dyDescent="0.25">
      <c r="A252" s="19">
        <v>249</v>
      </c>
      <c r="B252" s="36">
        <v>2493582</v>
      </c>
      <c r="C252" s="33">
        <v>1</v>
      </c>
      <c r="D252" s="33" t="s">
        <v>426</v>
      </c>
      <c r="E252" s="33" t="s">
        <v>426</v>
      </c>
      <c r="F252" s="34">
        <v>2581656.89</v>
      </c>
      <c r="G252" s="19" t="s">
        <v>427</v>
      </c>
      <c r="H252" s="19" t="s">
        <v>428</v>
      </c>
      <c r="I252" s="20" t="s">
        <v>429</v>
      </c>
      <c r="J252" s="20" t="s">
        <v>430</v>
      </c>
      <c r="K252" s="21"/>
    </row>
    <row r="253" spans="1:11" ht="15" x14ac:dyDescent="0.25">
      <c r="A253" s="19">
        <v>250</v>
      </c>
      <c r="B253" s="36">
        <v>2479474</v>
      </c>
      <c r="C253" s="33">
        <v>4</v>
      </c>
      <c r="D253" s="33" t="s">
        <v>426</v>
      </c>
      <c r="E253" s="33" t="s">
        <v>426</v>
      </c>
      <c r="F253" s="34">
        <v>8807616.9299999997</v>
      </c>
      <c r="G253" s="19" t="s">
        <v>427</v>
      </c>
      <c r="H253" s="19" t="s">
        <v>428</v>
      </c>
      <c r="I253" s="20" t="s">
        <v>429</v>
      </c>
      <c r="J253" s="20" t="s">
        <v>430</v>
      </c>
      <c r="K253" s="21"/>
    </row>
    <row r="254" spans="1:11" ht="15" x14ac:dyDescent="0.25">
      <c r="A254" s="19">
        <v>251</v>
      </c>
      <c r="B254" s="36">
        <v>2589863</v>
      </c>
      <c r="C254" s="33">
        <v>1</v>
      </c>
      <c r="D254" s="33" t="s">
        <v>426</v>
      </c>
      <c r="E254" s="33" t="s">
        <v>426</v>
      </c>
      <c r="F254" s="34">
        <v>2935406.83</v>
      </c>
      <c r="G254" s="19" t="s">
        <v>427</v>
      </c>
      <c r="H254" s="19" t="s">
        <v>428</v>
      </c>
      <c r="I254" s="20" t="s">
        <v>429</v>
      </c>
      <c r="J254" s="20" t="s">
        <v>430</v>
      </c>
      <c r="K254" s="21"/>
    </row>
    <row r="255" spans="1:11" ht="15" x14ac:dyDescent="0.25">
      <c r="A255" s="19">
        <v>252</v>
      </c>
      <c r="B255" s="36">
        <v>2288439</v>
      </c>
      <c r="C255" s="33">
        <v>1</v>
      </c>
      <c r="D255" s="33" t="s">
        <v>426</v>
      </c>
      <c r="E255" s="33" t="s">
        <v>426</v>
      </c>
      <c r="F255" s="34">
        <v>3100796.47</v>
      </c>
      <c r="G255" s="19" t="s">
        <v>427</v>
      </c>
      <c r="H255" s="19" t="s">
        <v>428</v>
      </c>
      <c r="I255" s="20" t="s">
        <v>429</v>
      </c>
      <c r="J255" s="20" t="s">
        <v>430</v>
      </c>
      <c r="K255" s="21"/>
    </row>
    <row r="256" spans="1:11" ht="15" x14ac:dyDescent="0.25">
      <c r="A256" s="32">
        <v>253</v>
      </c>
      <c r="B256" s="36">
        <v>2447304</v>
      </c>
      <c r="C256" s="33">
        <v>1</v>
      </c>
      <c r="D256" s="33" t="s">
        <v>426</v>
      </c>
      <c r="E256" s="33" t="s">
        <v>426</v>
      </c>
      <c r="F256" s="34">
        <v>7748520.1699999999</v>
      </c>
      <c r="G256" s="19" t="s">
        <v>427</v>
      </c>
      <c r="H256" s="19" t="s">
        <v>428</v>
      </c>
      <c r="I256" s="20" t="s">
        <v>429</v>
      </c>
      <c r="J256" s="20" t="s">
        <v>430</v>
      </c>
      <c r="K256" s="21"/>
    </row>
    <row r="257" spans="1:11" ht="15" x14ac:dyDescent="0.25">
      <c r="A257" s="32">
        <v>254</v>
      </c>
      <c r="B257" s="36">
        <v>2598477</v>
      </c>
      <c r="C257" s="33">
        <v>1</v>
      </c>
      <c r="D257" s="33" t="s">
        <v>426</v>
      </c>
      <c r="E257" s="33" t="s">
        <v>426</v>
      </c>
      <c r="F257" s="34">
        <v>4057941.73</v>
      </c>
      <c r="G257" s="19" t="s">
        <v>427</v>
      </c>
      <c r="H257" s="19" t="s">
        <v>428</v>
      </c>
      <c r="I257" s="20" t="s">
        <v>429</v>
      </c>
      <c r="J257" s="20" t="s">
        <v>430</v>
      </c>
      <c r="K257" s="21"/>
    </row>
    <row r="258" spans="1:11" ht="15" x14ac:dyDescent="0.25">
      <c r="A258" s="32">
        <v>255</v>
      </c>
      <c r="B258" s="36">
        <v>2570798</v>
      </c>
      <c r="C258" s="33">
        <v>1</v>
      </c>
      <c r="D258" s="33" t="s">
        <v>426</v>
      </c>
      <c r="E258" s="33" t="s">
        <v>426</v>
      </c>
      <c r="F258" s="34">
        <v>10096165.34</v>
      </c>
      <c r="G258" s="19" t="s">
        <v>427</v>
      </c>
      <c r="H258" s="19" t="s">
        <v>428</v>
      </c>
      <c r="I258" s="20" t="s">
        <v>429</v>
      </c>
      <c r="J258" s="20" t="s">
        <v>430</v>
      </c>
      <c r="K258" s="21"/>
    </row>
    <row r="259" spans="1:11" ht="15" x14ac:dyDescent="0.25">
      <c r="A259" s="32">
        <v>256</v>
      </c>
      <c r="B259" s="36">
        <v>2461041</v>
      </c>
      <c r="C259" s="33">
        <v>1</v>
      </c>
      <c r="D259" s="33" t="s">
        <v>426</v>
      </c>
      <c r="E259" s="33" t="s">
        <v>426</v>
      </c>
      <c r="F259" s="34">
        <v>4121690.55</v>
      </c>
      <c r="G259" s="19" t="s">
        <v>427</v>
      </c>
      <c r="H259" s="35" t="s">
        <v>433</v>
      </c>
      <c r="I259" s="20" t="s">
        <v>429</v>
      </c>
      <c r="J259" s="20" t="s">
        <v>430</v>
      </c>
      <c r="K259" s="21"/>
    </row>
    <row r="260" spans="1:11" ht="15" x14ac:dyDescent="0.25">
      <c r="A260" s="19">
        <v>257</v>
      </c>
      <c r="B260" s="36">
        <v>2633789</v>
      </c>
      <c r="C260" s="33">
        <v>1</v>
      </c>
      <c r="D260" s="33" t="s">
        <v>426</v>
      </c>
      <c r="E260" s="33" t="s">
        <v>426</v>
      </c>
      <c r="F260" s="34">
        <v>5787378.3300000001</v>
      </c>
      <c r="G260" s="19" t="s">
        <v>427</v>
      </c>
      <c r="H260" s="19" t="s">
        <v>428</v>
      </c>
      <c r="I260" s="20" t="s">
        <v>429</v>
      </c>
      <c r="J260" s="20" t="s">
        <v>430</v>
      </c>
      <c r="K260" s="21"/>
    </row>
    <row r="261" spans="1:11" ht="15" x14ac:dyDescent="0.25">
      <c r="A261" s="19">
        <v>258</v>
      </c>
      <c r="B261" s="36">
        <v>2611615</v>
      </c>
      <c r="C261" s="33">
        <v>1</v>
      </c>
      <c r="D261" s="33" t="s">
        <v>426</v>
      </c>
      <c r="E261" s="33" t="s">
        <v>426</v>
      </c>
      <c r="F261" s="34">
        <v>13742893.32</v>
      </c>
      <c r="G261" s="19" t="s">
        <v>427</v>
      </c>
      <c r="H261" s="19" t="s">
        <v>428</v>
      </c>
      <c r="I261" s="20" t="s">
        <v>429</v>
      </c>
      <c r="J261" s="20" t="s">
        <v>430</v>
      </c>
      <c r="K261" s="21"/>
    </row>
    <row r="262" spans="1:11" ht="15" x14ac:dyDescent="0.25">
      <c r="A262" s="19">
        <v>259</v>
      </c>
      <c r="B262" s="36">
        <v>2474174</v>
      </c>
      <c r="C262" s="33">
        <v>1</v>
      </c>
      <c r="D262" s="33" t="s">
        <v>426</v>
      </c>
      <c r="E262" s="33" t="s">
        <v>426</v>
      </c>
      <c r="F262" s="34">
        <v>34830812.700000003</v>
      </c>
      <c r="G262" s="19" t="s">
        <v>427</v>
      </c>
      <c r="H262" s="19" t="s">
        <v>428</v>
      </c>
      <c r="I262" s="20" t="s">
        <v>429</v>
      </c>
      <c r="J262" s="20" t="s">
        <v>430</v>
      </c>
      <c r="K262" s="21"/>
    </row>
    <row r="263" spans="1:11" ht="15" x14ac:dyDescent="0.25">
      <c r="A263" s="19">
        <v>260</v>
      </c>
      <c r="B263" s="36">
        <v>2454244</v>
      </c>
      <c r="C263" s="33">
        <v>1</v>
      </c>
      <c r="D263" s="33" t="s">
        <v>426</v>
      </c>
      <c r="E263" s="33" t="s">
        <v>426</v>
      </c>
      <c r="F263" s="34">
        <v>16142036.42</v>
      </c>
      <c r="G263" s="19" t="s">
        <v>427</v>
      </c>
      <c r="H263" s="19" t="s">
        <v>428</v>
      </c>
      <c r="I263" s="20" t="s">
        <v>429</v>
      </c>
      <c r="J263" s="20" t="s">
        <v>430</v>
      </c>
      <c r="K263" s="21"/>
    </row>
    <row r="264" spans="1:11" ht="15" x14ac:dyDescent="0.25">
      <c r="A264" s="19">
        <v>261</v>
      </c>
      <c r="B264" s="36">
        <v>2422632</v>
      </c>
      <c r="C264" s="33">
        <v>1</v>
      </c>
      <c r="D264" s="33" t="s">
        <v>426</v>
      </c>
      <c r="E264" s="33" t="s">
        <v>426</v>
      </c>
      <c r="F264" s="34">
        <v>9304323.2599999998</v>
      </c>
      <c r="G264" s="19" t="s">
        <v>427</v>
      </c>
      <c r="H264" s="19" t="s">
        <v>428</v>
      </c>
      <c r="I264" s="20" t="s">
        <v>429</v>
      </c>
      <c r="J264" s="20" t="s">
        <v>430</v>
      </c>
      <c r="K264" s="21"/>
    </row>
    <row r="265" spans="1:11" ht="15" x14ac:dyDescent="0.25">
      <c r="A265" s="32">
        <v>262</v>
      </c>
      <c r="B265" s="36">
        <v>2510181</v>
      </c>
      <c r="C265" s="33">
        <v>1</v>
      </c>
      <c r="D265" s="33" t="s">
        <v>426</v>
      </c>
      <c r="E265" s="33" t="s">
        <v>426</v>
      </c>
      <c r="F265" s="34">
        <v>4192075.37</v>
      </c>
      <c r="G265" s="19" t="s">
        <v>427</v>
      </c>
      <c r="H265" s="19" t="s">
        <v>428</v>
      </c>
      <c r="I265" s="20" t="s">
        <v>429</v>
      </c>
      <c r="J265" s="20" t="s">
        <v>430</v>
      </c>
      <c r="K265" s="21"/>
    </row>
    <row r="266" spans="1:11" ht="15" x14ac:dyDescent="0.25">
      <c r="A266" s="32">
        <v>263</v>
      </c>
      <c r="B266" s="36">
        <v>2527917</v>
      </c>
      <c r="C266" s="33">
        <v>1</v>
      </c>
      <c r="D266" s="33" t="s">
        <v>426</v>
      </c>
      <c r="E266" s="33" t="s">
        <v>426</v>
      </c>
      <c r="F266" s="34">
        <v>6736545.9400000004</v>
      </c>
      <c r="G266" s="19" t="s">
        <v>427</v>
      </c>
      <c r="H266" s="19" t="s">
        <v>428</v>
      </c>
      <c r="I266" s="20" t="s">
        <v>429</v>
      </c>
      <c r="J266" s="20" t="s">
        <v>430</v>
      </c>
      <c r="K266" s="21"/>
    </row>
    <row r="267" spans="1:11" ht="15" x14ac:dyDescent="0.25">
      <c r="A267" s="32">
        <v>264</v>
      </c>
      <c r="B267" s="36">
        <v>2615150</v>
      </c>
      <c r="C267" s="33">
        <v>1</v>
      </c>
      <c r="D267" s="33" t="s">
        <v>426</v>
      </c>
      <c r="E267" s="33" t="s">
        <v>426</v>
      </c>
      <c r="F267" s="34">
        <v>5847902.4699999997</v>
      </c>
      <c r="G267" s="19" t="s">
        <v>427</v>
      </c>
      <c r="H267" s="19" t="s">
        <v>428</v>
      </c>
      <c r="I267" s="20" t="s">
        <v>429</v>
      </c>
      <c r="J267" s="20" t="s">
        <v>430</v>
      </c>
      <c r="K267" s="21"/>
    </row>
    <row r="268" spans="1:11" ht="15" x14ac:dyDescent="0.25">
      <c r="A268" s="32">
        <v>265</v>
      </c>
      <c r="B268" s="36">
        <v>2518124</v>
      </c>
      <c r="C268" s="33">
        <v>1</v>
      </c>
      <c r="D268" s="33" t="s">
        <v>426</v>
      </c>
      <c r="E268" s="33" t="s">
        <v>426</v>
      </c>
      <c r="F268" s="34">
        <v>2899379.42</v>
      </c>
      <c r="G268" s="19" t="s">
        <v>427</v>
      </c>
      <c r="H268" s="19" t="s">
        <v>428</v>
      </c>
      <c r="I268" s="20" t="s">
        <v>429</v>
      </c>
      <c r="J268" s="20" t="s">
        <v>430</v>
      </c>
      <c r="K268" s="21"/>
    </row>
    <row r="269" spans="1:11" ht="15" x14ac:dyDescent="0.25">
      <c r="A269" s="19">
        <v>266</v>
      </c>
      <c r="B269" s="36">
        <v>2531264</v>
      </c>
      <c r="C269" s="33">
        <v>1</v>
      </c>
      <c r="D269" s="33" t="s">
        <v>426</v>
      </c>
      <c r="E269" s="33" t="s">
        <v>426</v>
      </c>
      <c r="F269" s="34">
        <v>13702777.720000001</v>
      </c>
      <c r="G269" s="19" t="s">
        <v>427</v>
      </c>
      <c r="H269" s="19" t="s">
        <v>428</v>
      </c>
      <c r="I269" s="20" t="s">
        <v>429</v>
      </c>
      <c r="J269" s="20" t="s">
        <v>430</v>
      </c>
      <c r="K269" s="21"/>
    </row>
    <row r="270" spans="1:11" ht="15" x14ac:dyDescent="0.25">
      <c r="A270" s="19">
        <v>267</v>
      </c>
      <c r="B270" s="36">
        <v>2443170</v>
      </c>
      <c r="C270" s="33">
        <v>1</v>
      </c>
      <c r="D270" s="33" t="s">
        <v>426</v>
      </c>
      <c r="E270" s="33" t="s">
        <v>426</v>
      </c>
      <c r="F270" s="34">
        <v>7551600.2300000004</v>
      </c>
      <c r="G270" s="19" t="s">
        <v>427</v>
      </c>
      <c r="H270" s="19" t="s">
        <v>428</v>
      </c>
      <c r="I270" s="20" t="s">
        <v>429</v>
      </c>
      <c r="J270" s="20" t="s">
        <v>430</v>
      </c>
      <c r="K270" s="21"/>
    </row>
    <row r="271" spans="1:11" ht="15" x14ac:dyDescent="0.25">
      <c r="A271" s="19">
        <v>268</v>
      </c>
      <c r="B271" s="33">
        <v>2608003</v>
      </c>
      <c r="C271" s="33">
        <v>1</v>
      </c>
      <c r="D271" s="33" t="s">
        <v>426</v>
      </c>
      <c r="E271" s="33" t="s">
        <v>426</v>
      </c>
      <c r="F271" s="34">
        <v>5150446.1900000004</v>
      </c>
      <c r="G271" s="19" t="s">
        <v>427</v>
      </c>
      <c r="H271" s="35" t="s">
        <v>433</v>
      </c>
      <c r="I271" s="20" t="s">
        <v>429</v>
      </c>
      <c r="J271" s="20" t="s">
        <v>430</v>
      </c>
      <c r="K271" s="21"/>
    </row>
    <row r="272" spans="1:11" ht="15" x14ac:dyDescent="0.25">
      <c r="A272" s="19">
        <v>269</v>
      </c>
      <c r="B272" s="36">
        <v>2627074</v>
      </c>
      <c r="C272" s="33">
        <v>1</v>
      </c>
      <c r="D272" s="33" t="s">
        <v>426</v>
      </c>
      <c r="E272" s="33" t="s">
        <v>426</v>
      </c>
      <c r="F272" s="34">
        <v>15891286.5</v>
      </c>
      <c r="G272" s="19" t="s">
        <v>427</v>
      </c>
      <c r="H272" s="19" t="s">
        <v>428</v>
      </c>
      <c r="I272" s="20" t="s">
        <v>429</v>
      </c>
      <c r="J272" s="20" t="s">
        <v>430</v>
      </c>
      <c r="K272" s="21"/>
    </row>
    <row r="273" spans="1:11" ht="15" x14ac:dyDescent="0.25">
      <c r="A273" s="19">
        <v>270</v>
      </c>
      <c r="B273" s="36">
        <v>2645902</v>
      </c>
      <c r="C273" s="33">
        <v>1</v>
      </c>
      <c r="D273" s="33" t="s">
        <v>426</v>
      </c>
      <c r="E273" s="33" t="s">
        <v>426</v>
      </c>
      <c r="F273" s="34">
        <v>6842585.9500000002</v>
      </c>
      <c r="G273" s="19" t="s">
        <v>427</v>
      </c>
      <c r="H273" s="19" t="s">
        <v>428</v>
      </c>
      <c r="I273" s="20" t="s">
        <v>429</v>
      </c>
      <c r="J273" s="20" t="s">
        <v>430</v>
      </c>
      <c r="K273" s="21"/>
    </row>
    <row r="274" spans="1:11" ht="15" x14ac:dyDescent="0.25">
      <c r="A274" s="32">
        <v>271</v>
      </c>
      <c r="B274" s="36">
        <v>2279849</v>
      </c>
      <c r="C274" s="33">
        <v>1</v>
      </c>
      <c r="D274" s="33" t="s">
        <v>426</v>
      </c>
      <c r="E274" s="33" t="s">
        <v>426</v>
      </c>
      <c r="F274" s="34">
        <v>6998985.7000000002</v>
      </c>
      <c r="G274" s="19" t="s">
        <v>427</v>
      </c>
      <c r="H274" s="35" t="s">
        <v>433</v>
      </c>
      <c r="I274" s="20" t="s">
        <v>429</v>
      </c>
      <c r="J274" s="20" t="s">
        <v>430</v>
      </c>
      <c r="K274" s="21"/>
    </row>
    <row r="275" spans="1:11" ht="15" x14ac:dyDescent="0.25">
      <c r="A275" s="32">
        <v>272</v>
      </c>
      <c r="B275" s="36">
        <v>2605024</v>
      </c>
      <c r="C275" s="33">
        <v>1</v>
      </c>
      <c r="D275" s="33" t="s">
        <v>426</v>
      </c>
      <c r="E275" s="33" t="s">
        <v>426</v>
      </c>
      <c r="F275" s="34">
        <v>6777185.5999999996</v>
      </c>
      <c r="G275" s="19" t="s">
        <v>427</v>
      </c>
      <c r="H275" s="19" t="s">
        <v>428</v>
      </c>
      <c r="I275" s="20" t="s">
        <v>429</v>
      </c>
      <c r="J275" s="20" t="s">
        <v>430</v>
      </c>
      <c r="K275" s="21"/>
    </row>
    <row r="276" spans="1:11" ht="15" x14ac:dyDescent="0.25">
      <c r="A276" s="32">
        <v>273</v>
      </c>
      <c r="B276" s="36">
        <v>2382433</v>
      </c>
      <c r="C276" s="33">
        <v>1</v>
      </c>
      <c r="D276" s="33" t="s">
        <v>426</v>
      </c>
      <c r="E276" s="33" t="s">
        <v>426</v>
      </c>
      <c r="F276" s="34">
        <v>15606246.550000001</v>
      </c>
      <c r="G276" s="19" t="s">
        <v>427</v>
      </c>
      <c r="H276" s="19" t="s">
        <v>428</v>
      </c>
      <c r="I276" s="20" t="s">
        <v>429</v>
      </c>
      <c r="J276" s="20" t="s">
        <v>430</v>
      </c>
      <c r="K276" s="21"/>
    </row>
    <row r="277" spans="1:11" ht="15" x14ac:dyDescent="0.25">
      <c r="A277" s="32">
        <v>274</v>
      </c>
      <c r="B277" s="36">
        <v>2164574</v>
      </c>
      <c r="C277" s="33">
        <v>1</v>
      </c>
      <c r="D277" s="33" t="s">
        <v>426</v>
      </c>
      <c r="E277" s="33" t="s">
        <v>426</v>
      </c>
      <c r="F277" s="34">
        <v>4318810.1500000004</v>
      </c>
      <c r="G277" s="19" t="s">
        <v>427</v>
      </c>
      <c r="H277" s="19" t="s">
        <v>428</v>
      </c>
      <c r="I277" s="20" t="s">
        <v>429</v>
      </c>
      <c r="J277" s="20" t="s">
        <v>430</v>
      </c>
      <c r="K277" s="21"/>
    </row>
    <row r="278" spans="1:11" ht="15" x14ac:dyDescent="0.25">
      <c r="A278" s="19">
        <v>275</v>
      </c>
      <c r="B278" s="36">
        <v>2623044</v>
      </c>
      <c r="C278" s="33">
        <v>1</v>
      </c>
      <c r="D278" s="33" t="s">
        <v>426</v>
      </c>
      <c r="E278" s="33" t="s">
        <v>426</v>
      </c>
      <c r="F278" s="34">
        <v>12191999.140000001</v>
      </c>
      <c r="G278" s="19" t="s">
        <v>427</v>
      </c>
      <c r="H278" s="19" t="s">
        <v>428</v>
      </c>
      <c r="I278" s="20" t="s">
        <v>429</v>
      </c>
      <c r="J278" s="20" t="s">
        <v>430</v>
      </c>
      <c r="K278" s="21"/>
    </row>
    <row r="279" spans="1:11" ht="15" x14ac:dyDescent="0.25">
      <c r="A279" s="19">
        <v>276</v>
      </c>
      <c r="B279" s="36">
        <v>2521486</v>
      </c>
      <c r="C279" s="33">
        <v>1</v>
      </c>
      <c r="D279" s="33" t="s">
        <v>426</v>
      </c>
      <c r="E279" s="33" t="s">
        <v>426</v>
      </c>
      <c r="F279" s="34">
        <v>7880278.0300000003</v>
      </c>
      <c r="G279" s="19" t="s">
        <v>427</v>
      </c>
      <c r="H279" s="19" t="s">
        <v>428</v>
      </c>
      <c r="I279" s="20" t="s">
        <v>429</v>
      </c>
      <c r="J279" s="20" t="s">
        <v>430</v>
      </c>
      <c r="K279" s="21"/>
    </row>
    <row r="280" spans="1:11" ht="15" x14ac:dyDescent="0.25">
      <c r="A280" s="19">
        <v>277</v>
      </c>
      <c r="B280" s="36">
        <v>2644131</v>
      </c>
      <c r="C280" s="33">
        <v>1</v>
      </c>
      <c r="D280" s="33" t="s">
        <v>426</v>
      </c>
      <c r="E280" s="33" t="s">
        <v>426</v>
      </c>
      <c r="F280" s="34">
        <v>3842719.6</v>
      </c>
      <c r="G280" s="19" t="s">
        <v>427</v>
      </c>
      <c r="H280" s="19" t="s">
        <v>428</v>
      </c>
      <c r="I280" s="20" t="s">
        <v>429</v>
      </c>
      <c r="J280" s="20" t="s">
        <v>430</v>
      </c>
      <c r="K280" s="21"/>
    </row>
    <row r="281" spans="1:11" ht="15" x14ac:dyDescent="0.25">
      <c r="A281" s="19">
        <v>278</v>
      </c>
      <c r="B281" s="36">
        <v>2646127</v>
      </c>
      <c r="C281" s="33">
        <v>1</v>
      </c>
      <c r="D281" s="33" t="s">
        <v>426</v>
      </c>
      <c r="E281" s="33" t="s">
        <v>426</v>
      </c>
      <c r="F281" s="34">
        <v>3222444.53</v>
      </c>
      <c r="G281" s="19" t="s">
        <v>427</v>
      </c>
      <c r="H281" s="19" t="s">
        <v>428</v>
      </c>
      <c r="I281" s="20" t="s">
        <v>429</v>
      </c>
      <c r="J281" s="20" t="s">
        <v>430</v>
      </c>
      <c r="K281" s="21"/>
    </row>
    <row r="282" spans="1:11" ht="15" x14ac:dyDescent="0.25">
      <c r="A282" s="19">
        <v>279</v>
      </c>
      <c r="B282" s="36">
        <v>2606128</v>
      </c>
      <c r="C282" s="33">
        <v>1</v>
      </c>
      <c r="D282" s="33" t="s">
        <v>426</v>
      </c>
      <c r="E282" s="33" t="s">
        <v>426</v>
      </c>
      <c r="F282" s="34">
        <v>15783942.15</v>
      </c>
      <c r="G282" s="19" t="s">
        <v>427</v>
      </c>
      <c r="H282" s="19" t="s">
        <v>428</v>
      </c>
      <c r="I282" s="20" t="s">
        <v>429</v>
      </c>
      <c r="J282" s="20" t="s">
        <v>430</v>
      </c>
      <c r="K282" s="21"/>
    </row>
    <row r="283" spans="1:11" ht="15" x14ac:dyDescent="0.25">
      <c r="A283" s="32">
        <v>280</v>
      </c>
      <c r="B283" s="36">
        <v>2635809</v>
      </c>
      <c r="C283" s="33">
        <v>1</v>
      </c>
      <c r="D283" s="33" t="s">
        <v>426</v>
      </c>
      <c r="E283" s="33" t="s">
        <v>426</v>
      </c>
      <c r="F283" s="34">
        <v>16020815.66</v>
      </c>
      <c r="G283" s="19" t="s">
        <v>427</v>
      </c>
      <c r="H283" s="19" t="s">
        <v>428</v>
      </c>
      <c r="I283" s="20" t="s">
        <v>429</v>
      </c>
      <c r="J283" s="20" t="s">
        <v>430</v>
      </c>
      <c r="K283" s="21"/>
    </row>
    <row r="284" spans="1:11" ht="15" x14ac:dyDescent="0.25">
      <c r="A284" s="32">
        <v>281</v>
      </c>
      <c r="B284" s="36">
        <v>2278794</v>
      </c>
      <c r="C284" s="33">
        <v>2</v>
      </c>
      <c r="D284" s="33" t="s">
        <v>426</v>
      </c>
      <c r="E284" s="33" t="s">
        <v>426</v>
      </c>
      <c r="F284" s="34">
        <v>8585435.1500000004</v>
      </c>
      <c r="G284" s="19" t="s">
        <v>427</v>
      </c>
      <c r="H284" s="19" t="s">
        <v>428</v>
      </c>
      <c r="I284" s="20" t="s">
        <v>429</v>
      </c>
      <c r="J284" s="20" t="s">
        <v>430</v>
      </c>
      <c r="K284" s="21"/>
    </row>
    <row r="285" spans="1:11" ht="15" x14ac:dyDescent="0.25">
      <c r="A285" s="32">
        <v>282</v>
      </c>
      <c r="B285" s="36">
        <v>2300286</v>
      </c>
      <c r="C285" s="33">
        <v>1</v>
      </c>
      <c r="D285" s="33" t="s">
        <v>426</v>
      </c>
      <c r="E285" s="33" t="s">
        <v>426</v>
      </c>
      <c r="F285" s="34">
        <v>31436383.030000001</v>
      </c>
      <c r="G285" s="19" t="s">
        <v>427</v>
      </c>
      <c r="H285" s="19" t="s">
        <v>428</v>
      </c>
      <c r="I285" s="20" t="s">
        <v>429</v>
      </c>
      <c r="J285" s="20" t="s">
        <v>430</v>
      </c>
      <c r="K285" s="21"/>
    </row>
    <row r="286" spans="1:11" ht="15" x14ac:dyDescent="0.25">
      <c r="A286" s="32">
        <v>283</v>
      </c>
      <c r="B286" s="36">
        <v>2444350</v>
      </c>
      <c r="C286" s="33">
        <v>1</v>
      </c>
      <c r="D286" s="33" t="s">
        <v>426</v>
      </c>
      <c r="E286" s="33" t="s">
        <v>426</v>
      </c>
      <c r="F286" s="34">
        <v>6795446.3600000003</v>
      </c>
      <c r="G286" s="19" t="s">
        <v>427</v>
      </c>
      <c r="H286" s="19" t="s">
        <v>428</v>
      </c>
      <c r="I286" s="20" t="s">
        <v>429</v>
      </c>
      <c r="J286" s="20" t="s">
        <v>430</v>
      </c>
      <c r="K286" s="21"/>
    </row>
    <row r="287" spans="1:11" ht="15" x14ac:dyDescent="0.25">
      <c r="A287" s="19">
        <v>284</v>
      </c>
      <c r="B287" s="36">
        <v>2587015</v>
      </c>
      <c r="C287" s="33">
        <v>1</v>
      </c>
      <c r="D287" s="33" t="s">
        <v>426</v>
      </c>
      <c r="E287" s="33" t="s">
        <v>426</v>
      </c>
      <c r="F287" s="34">
        <v>7901108.3399999999</v>
      </c>
      <c r="G287" s="19" t="s">
        <v>427</v>
      </c>
      <c r="H287" s="19" t="s">
        <v>428</v>
      </c>
      <c r="I287" s="20" t="s">
        <v>429</v>
      </c>
      <c r="J287" s="20" t="s">
        <v>430</v>
      </c>
      <c r="K287" s="21"/>
    </row>
    <row r="288" spans="1:11" ht="15" x14ac:dyDescent="0.25">
      <c r="A288" s="19">
        <v>285</v>
      </c>
      <c r="B288" s="36">
        <v>2567347</v>
      </c>
      <c r="C288" s="33">
        <v>1</v>
      </c>
      <c r="D288" s="33" t="s">
        <v>426</v>
      </c>
      <c r="E288" s="33" t="s">
        <v>426</v>
      </c>
      <c r="F288" s="34">
        <v>9430111.0700000003</v>
      </c>
      <c r="G288" s="19" t="s">
        <v>427</v>
      </c>
      <c r="H288" s="19" t="s">
        <v>428</v>
      </c>
      <c r="I288" s="20" t="s">
        <v>429</v>
      </c>
      <c r="J288" s="20" t="s">
        <v>430</v>
      </c>
      <c r="K288" s="21"/>
    </row>
    <row r="289" spans="1:11" ht="15" x14ac:dyDescent="0.25">
      <c r="A289" s="19">
        <v>286</v>
      </c>
      <c r="B289" s="36">
        <v>2466640</v>
      </c>
      <c r="C289" s="33">
        <v>1</v>
      </c>
      <c r="D289" s="33" t="s">
        <v>426</v>
      </c>
      <c r="E289" s="33" t="s">
        <v>426</v>
      </c>
      <c r="F289" s="34">
        <v>12029871.189999999</v>
      </c>
      <c r="G289" s="19" t="s">
        <v>427</v>
      </c>
      <c r="H289" s="19" t="s">
        <v>428</v>
      </c>
      <c r="I289" s="20" t="s">
        <v>429</v>
      </c>
      <c r="J289" s="20" t="s">
        <v>430</v>
      </c>
      <c r="K289" s="21"/>
    </row>
    <row r="290" spans="1:11" ht="15" x14ac:dyDescent="0.25">
      <c r="A290" s="19">
        <v>287</v>
      </c>
      <c r="B290" s="33">
        <v>2506307</v>
      </c>
      <c r="C290" s="33">
        <v>1</v>
      </c>
      <c r="D290" s="33" t="s">
        <v>426</v>
      </c>
      <c r="E290" s="33" t="s">
        <v>426</v>
      </c>
      <c r="F290" s="34">
        <v>23334874.93</v>
      </c>
      <c r="G290" s="19" t="s">
        <v>427</v>
      </c>
      <c r="H290" s="35" t="s">
        <v>433</v>
      </c>
      <c r="I290" s="20" t="s">
        <v>429</v>
      </c>
      <c r="J290" s="20" t="s">
        <v>430</v>
      </c>
      <c r="K290" s="21"/>
    </row>
    <row r="291" spans="1:11" ht="15" x14ac:dyDescent="0.25">
      <c r="A291" s="19">
        <v>288</v>
      </c>
      <c r="B291" s="36">
        <v>2622771</v>
      </c>
      <c r="C291" s="33">
        <v>2</v>
      </c>
      <c r="D291" s="33" t="s">
        <v>426</v>
      </c>
      <c r="E291" s="33" t="s">
        <v>426</v>
      </c>
      <c r="F291" s="34">
        <v>28345974.82</v>
      </c>
      <c r="G291" s="19" t="s">
        <v>427</v>
      </c>
      <c r="H291" s="19" t="s">
        <v>428</v>
      </c>
      <c r="I291" s="20" t="s">
        <v>429</v>
      </c>
      <c r="J291" s="20" t="s">
        <v>430</v>
      </c>
      <c r="K291" s="21"/>
    </row>
    <row r="292" spans="1:11" ht="15" x14ac:dyDescent="0.25">
      <c r="A292" s="32">
        <v>289</v>
      </c>
      <c r="B292" s="36">
        <v>2624055</v>
      </c>
      <c r="C292" s="33">
        <v>1</v>
      </c>
      <c r="D292" s="33" t="s">
        <v>426</v>
      </c>
      <c r="E292" s="33" t="s">
        <v>426</v>
      </c>
      <c r="F292" s="34">
        <v>5350677.3899999997</v>
      </c>
      <c r="G292" s="19" t="s">
        <v>427</v>
      </c>
      <c r="H292" s="19" t="s">
        <v>428</v>
      </c>
      <c r="I292" s="20" t="s">
        <v>429</v>
      </c>
      <c r="J292" s="20" t="s">
        <v>430</v>
      </c>
      <c r="K292" s="21"/>
    </row>
    <row r="293" spans="1:11" ht="15" x14ac:dyDescent="0.25">
      <c r="A293" s="32">
        <v>290</v>
      </c>
      <c r="B293" s="36">
        <v>2353529</v>
      </c>
      <c r="C293" s="33">
        <v>1</v>
      </c>
      <c r="D293" s="33" t="s">
        <v>426</v>
      </c>
      <c r="E293" s="33" t="s">
        <v>426</v>
      </c>
      <c r="F293" s="34">
        <v>10252036.800000001</v>
      </c>
      <c r="G293" s="19" t="s">
        <v>427</v>
      </c>
      <c r="H293" s="19" t="s">
        <v>428</v>
      </c>
      <c r="I293" s="20" t="s">
        <v>429</v>
      </c>
      <c r="J293" s="20" t="s">
        <v>430</v>
      </c>
      <c r="K293" s="21"/>
    </row>
    <row r="294" spans="1:11" ht="15" x14ac:dyDescent="0.25">
      <c r="A294" s="32">
        <v>291</v>
      </c>
      <c r="B294" s="36">
        <v>2421101</v>
      </c>
      <c r="C294" s="33">
        <v>1</v>
      </c>
      <c r="D294" s="33" t="s">
        <v>426</v>
      </c>
      <c r="E294" s="33" t="s">
        <v>426</v>
      </c>
      <c r="F294" s="34">
        <v>9862414.9700000007</v>
      </c>
      <c r="G294" s="19" t="s">
        <v>427</v>
      </c>
      <c r="H294" s="19" t="s">
        <v>428</v>
      </c>
      <c r="I294" s="20" t="s">
        <v>429</v>
      </c>
      <c r="J294" s="20" t="s">
        <v>430</v>
      </c>
      <c r="K294" s="21"/>
    </row>
    <row r="295" spans="1:11" ht="15" x14ac:dyDescent="0.25">
      <c r="A295" s="32">
        <v>292</v>
      </c>
      <c r="B295" s="36">
        <v>2574042</v>
      </c>
      <c r="C295" s="33">
        <v>1</v>
      </c>
      <c r="D295" s="33" t="s">
        <v>426</v>
      </c>
      <c r="E295" s="33" t="s">
        <v>426</v>
      </c>
      <c r="F295" s="34">
        <v>12465349.77</v>
      </c>
      <c r="G295" s="19" t="s">
        <v>427</v>
      </c>
      <c r="H295" s="19" t="s">
        <v>428</v>
      </c>
      <c r="I295" s="20" t="s">
        <v>429</v>
      </c>
      <c r="J295" s="20" t="s">
        <v>430</v>
      </c>
      <c r="K295" s="21"/>
    </row>
    <row r="296" spans="1:11" ht="15" x14ac:dyDescent="0.25">
      <c r="A296" s="19">
        <v>293</v>
      </c>
      <c r="B296" s="36">
        <v>2645501</v>
      </c>
      <c r="C296" s="33">
        <v>1</v>
      </c>
      <c r="D296" s="33" t="s">
        <v>426</v>
      </c>
      <c r="E296" s="33" t="s">
        <v>426</v>
      </c>
      <c r="F296" s="34">
        <v>3745179.51</v>
      </c>
      <c r="G296" s="19" t="s">
        <v>427</v>
      </c>
      <c r="H296" s="19" t="s">
        <v>428</v>
      </c>
      <c r="I296" s="20" t="s">
        <v>429</v>
      </c>
      <c r="J296" s="20" t="s">
        <v>430</v>
      </c>
      <c r="K296" s="21"/>
    </row>
    <row r="297" spans="1:11" ht="15" x14ac:dyDescent="0.25">
      <c r="A297" s="19">
        <v>294</v>
      </c>
      <c r="B297" s="36">
        <v>2576288</v>
      </c>
      <c r="C297" s="33">
        <v>1</v>
      </c>
      <c r="D297" s="33" t="s">
        <v>426</v>
      </c>
      <c r="E297" s="33" t="s">
        <v>426</v>
      </c>
      <c r="F297" s="34">
        <v>4679279.5999999996</v>
      </c>
      <c r="G297" s="19" t="s">
        <v>427</v>
      </c>
      <c r="H297" s="19" t="s">
        <v>428</v>
      </c>
      <c r="I297" s="20" t="s">
        <v>429</v>
      </c>
      <c r="J297" s="20" t="s">
        <v>430</v>
      </c>
      <c r="K297" s="21"/>
    </row>
    <row r="298" spans="1:11" ht="15" x14ac:dyDescent="0.25">
      <c r="A298" s="19">
        <v>295</v>
      </c>
      <c r="B298" s="36">
        <v>2603745</v>
      </c>
      <c r="C298" s="33">
        <v>1</v>
      </c>
      <c r="D298" s="33" t="s">
        <v>426</v>
      </c>
      <c r="E298" s="33" t="s">
        <v>426</v>
      </c>
      <c r="F298" s="34">
        <v>17571491.539999999</v>
      </c>
      <c r="G298" s="19" t="s">
        <v>427</v>
      </c>
      <c r="H298" s="19" t="s">
        <v>428</v>
      </c>
      <c r="I298" s="20" t="s">
        <v>429</v>
      </c>
      <c r="J298" s="20" t="s">
        <v>430</v>
      </c>
      <c r="K298" s="21"/>
    </row>
    <row r="299" spans="1:11" ht="15" x14ac:dyDescent="0.25">
      <c r="A299" s="19">
        <v>296</v>
      </c>
      <c r="B299" s="36">
        <v>2590325</v>
      </c>
      <c r="C299" s="33">
        <v>1</v>
      </c>
      <c r="D299" s="33" t="s">
        <v>426</v>
      </c>
      <c r="E299" s="33" t="s">
        <v>426</v>
      </c>
      <c r="F299" s="34">
        <v>10211938.85</v>
      </c>
      <c r="G299" s="19" t="s">
        <v>427</v>
      </c>
      <c r="H299" s="19" t="s">
        <v>428</v>
      </c>
      <c r="I299" s="20" t="s">
        <v>429</v>
      </c>
      <c r="J299" s="20" t="s">
        <v>430</v>
      </c>
      <c r="K299" s="21"/>
    </row>
    <row r="300" spans="1:11" ht="15" x14ac:dyDescent="0.25">
      <c r="A300" s="19">
        <v>297</v>
      </c>
      <c r="B300" s="36">
        <v>2344218</v>
      </c>
      <c r="C300" s="33">
        <v>2</v>
      </c>
      <c r="D300" s="33" t="s">
        <v>426</v>
      </c>
      <c r="E300" s="33" t="s">
        <v>426</v>
      </c>
      <c r="F300" s="34">
        <v>17568849.149999999</v>
      </c>
      <c r="G300" s="19" t="s">
        <v>427</v>
      </c>
      <c r="H300" s="19" t="s">
        <v>428</v>
      </c>
      <c r="I300" s="20" t="s">
        <v>429</v>
      </c>
      <c r="J300" s="20" t="s">
        <v>430</v>
      </c>
      <c r="K300" s="21"/>
    </row>
    <row r="301" spans="1:11" ht="15" x14ac:dyDescent="0.25">
      <c r="A301" s="32">
        <v>298</v>
      </c>
      <c r="B301" s="36">
        <v>2566582</v>
      </c>
      <c r="C301" s="33">
        <v>1</v>
      </c>
      <c r="D301" s="33" t="s">
        <v>426</v>
      </c>
      <c r="E301" s="33" t="s">
        <v>426</v>
      </c>
      <c r="F301" s="34">
        <v>4022567.69</v>
      </c>
      <c r="G301" s="19" t="s">
        <v>427</v>
      </c>
      <c r="H301" s="19" t="s">
        <v>428</v>
      </c>
      <c r="I301" s="20" t="s">
        <v>429</v>
      </c>
      <c r="J301" s="20" t="s">
        <v>430</v>
      </c>
      <c r="K301" s="21"/>
    </row>
    <row r="302" spans="1:11" ht="15" x14ac:dyDescent="0.25">
      <c r="A302" s="32">
        <v>299</v>
      </c>
      <c r="B302" s="36">
        <v>2452583</v>
      </c>
      <c r="C302" s="33">
        <v>1</v>
      </c>
      <c r="D302" s="33" t="s">
        <v>426</v>
      </c>
      <c r="E302" s="33" t="s">
        <v>426</v>
      </c>
      <c r="F302" s="34">
        <v>14213420.460000001</v>
      </c>
      <c r="G302" s="19" t="s">
        <v>427</v>
      </c>
      <c r="H302" s="19" t="s">
        <v>428</v>
      </c>
      <c r="I302" s="20" t="s">
        <v>429</v>
      </c>
      <c r="J302" s="20" t="s">
        <v>430</v>
      </c>
      <c r="K302" s="21"/>
    </row>
    <row r="303" spans="1:11" ht="15" x14ac:dyDescent="0.25">
      <c r="A303" s="32">
        <v>300</v>
      </c>
      <c r="B303" s="36">
        <v>2590617</v>
      </c>
      <c r="C303" s="33">
        <v>1</v>
      </c>
      <c r="D303" s="33" t="s">
        <v>426</v>
      </c>
      <c r="E303" s="33" t="s">
        <v>426</v>
      </c>
      <c r="F303" s="34">
        <v>13314093.73</v>
      </c>
      <c r="G303" s="19" t="s">
        <v>427</v>
      </c>
      <c r="H303" s="19" t="s">
        <v>428</v>
      </c>
      <c r="I303" s="20" t="s">
        <v>429</v>
      </c>
      <c r="J303" s="20" t="s">
        <v>430</v>
      </c>
      <c r="K303" s="21"/>
    </row>
    <row r="304" spans="1:11" ht="15" x14ac:dyDescent="0.25">
      <c r="A304" s="32">
        <v>301</v>
      </c>
      <c r="B304" s="36">
        <v>2472133</v>
      </c>
      <c r="C304" s="33">
        <v>1</v>
      </c>
      <c r="D304" s="33" t="s">
        <v>426</v>
      </c>
      <c r="E304" s="33" t="s">
        <v>426</v>
      </c>
      <c r="F304" s="34">
        <v>8793720.7699999996</v>
      </c>
      <c r="G304" s="19" t="s">
        <v>427</v>
      </c>
      <c r="H304" s="19" t="s">
        <v>428</v>
      </c>
      <c r="I304" s="20" t="s">
        <v>429</v>
      </c>
      <c r="J304" s="20" t="s">
        <v>430</v>
      </c>
      <c r="K304" s="21"/>
    </row>
    <row r="305" spans="1:11" ht="15" x14ac:dyDescent="0.25">
      <c r="A305" s="19">
        <v>302</v>
      </c>
      <c r="B305" s="36">
        <v>2588822</v>
      </c>
      <c r="C305" s="33">
        <v>1</v>
      </c>
      <c r="D305" s="33" t="s">
        <v>426</v>
      </c>
      <c r="E305" s="33" t="s">
        <v>426</v>
      </c>
      <c r="F305" s="34">
        <v>6983158.4900000002</v>
      </c>
      <c r="G305" s="19" t="s">
        <v>427</v>
      </c>
      <c r="H305" s="19" t="s">
        <v>428</v>
      </c>
      <c r="I305" s="20" t="s">
        <v>429</v>
      </c>
      <c r="J305" s="20" t="s">
        <v>430</v>
      </c>
      <c r="K305" s="21"/>
    </row>
    <row r="306" spans="1:11" ht="15" x14ac:dyDescent="0.25">
      <c r="A306" s="19">
        <v>303</v>
      </c>
      <c r="B306" s="36">
        <v>2478501</v>
      </c>
      <c r="C306" s="33">
        <v>1</v>
      </c>
      <c r="D306" s="33" t="s">
        <v>426</v>
      </c>
      <c r="E306" s="33" t="s">
        <v>426</v>
      </c>
      <c r="F306" s="34">
        <v>7779935.0099999998</v>
      </c>
      <c r="G306" s="19" t="s">
        <v>427</v>
      </c>
      <c r="H306" s="19" t="s">
        <v>428</v>
      </c>
      <c r="I306" s="20" t="s">
        <v>429</v>
      </c>
      <c r="J306" s="20" t="s">
        <v>430</v>
      </c>
      <c r="K306" s="21"/>
    </row>
    <row r="307" spans="1:11" ht="15" x14ac:dyDescent="0.25">
      <c r="A307" s="19">
        <v>304</v>
      </c>
      <c r="B307" s="36">
        <v>2536037</v>
      </c>
      <c r="C307" s="33">
        <v>1</v>
      </c>
      <c r="D307" s="33" t="s">
        <v>426</v>
      </c>
      <c r="E307" s="33" t="s">
        <v>426</v>
      </c>
      <c r="F307" s="34">
        <v>9495531.6199999992</v>
      </c>
      <c r="G307" s="19" t="s">
        <v>427</v>
      </c>
      <c r="H307" s="19" t="s">
        <v>428</v>
      </c>
      <c r="I307" s="20" t="s">
        <v>429</v>
      </c>
      <c r="J307" s="20" t="s">
        <v>430</v>
      </c>
      <c r="K307" s="21"/>
    </row>
    <row r="308" spans="1:11" ht="15" x14ac:dyDescent="0.25">
      <c r="A308" s="19">
        <v>305</v>
      </c>
      <c r="B308" s="36">
        <v>2630438</v>
      </c>
      <c r="C308" s="33">
        <v>1</v>
      </c>
      <c r="D308" s="33" t="s">
        <v>426</v>
      </c>
      <c r="E308" s="33" t="s">
        <v>426</v>
      </c>
      <c r="F308" s="34">
        <v>6716669.4199999999</v>
      </c>
      <c r="G308" s="19" t="s">
        <v>427</v>
      </c>
      <c r="H308" s="19" t="s">
        <v>428</v>
      </c>
      <c r="I308" s="20" t="s">
        <v>429</v>
      </c>
      <c r="J308" s="20" t="s">
        <v>430</v>
      </c>
      <c r="K308" s="21"/>
    </row>
    <row r="309" spans="1:11" ht="15" x14ac:dyDescent="0.25">
      <c r="A309" s="19">
        <v>306</v>
      </c>
      <c r="B309" s="36">
        <v>2615725</v>
      </c>
      <c r="C309" s="33">
        <v>1</v>
      </c>
      <c r="D309" s="33" t="s">
        <v>426</v>
      </c>
      <c r="E309" s="33" t="s">
        <v>426</v>
      </c>
      <c r="F309" s="34">
        <v>13890096.699999999</v>
      </c>
      <c r="G309" s="19" t="s">
        <v>427</v>
      </c>
      <c r="H309" s="19" t="s">
        <v>428</v>
      </c>
      <c r="I309" s="20" t="s">
        <v>429</v>
      </c>
      <c r="J309" s="20" t="s">
        <v>430</v>
      </c>
      <c r="K309" s="21"/>
    </row>
    <row r="310" spans="1:11" ht="15" x14ac:dyDescent="0.25">
      <c r="A310" s="32">
        <v>307</v>
      </c>
      <c r="B310" s="33">
        <v>2626021</v>
      </c>
      <c r="C310" s="33">
        <v>1</v>
      </c>
      <c r="D310" s="33" t="s">
        <v>426</v>
      </c>
      <c r="E310" s="33" t="s">
        <v>426</v>
      </c>
      <c r="F310" s="34">
        <v>27850198.48</v>
      </c>
      <c r="G310" s="19" t="s">
        <v>427</v>
      </c>
      <c r="H310" s="35" t="s">
        <v>433</v>
      </c>
      <c r="I310" s="20" t="s">
        <v>429</v>
      </c>
      <c r="J310" s="20" t="s">
        <v>430</v>
      </c>
      <c r="K310" s="21"/>
    </row>
    <row r="311" spans="1:11" ht="15" x14ac:dyDescent="0.25">
      <c r="A311" s="32">
        <v>308</v>
      </c>
      <c r="B311" s="36">
        <v>2623533</v>
      </c>
      <c r="C311" s="33">
        <v>1</v>
      </c>
      <c r="D311" s="33" t="s">
        <v>426</v>
      </c>
      <c r="E311" s="33" t="s">
        <v>426</v>
      </c>
      <c r="F311" s="34">
        <v>5044632.74</v>
      </c>
      <c r="G311" s="19" t="s">
        <v>427</v>
      </c>
      <c r="H311" s="19" t="s">
        <v>428</v>
      </c>
      <c r="I311" s="20" t="s">
        <v>429</v>
      </c>
      <c r="J311" s="20" t="s">
        <v>430</v>
      </c>
      <c r="K311" s="21"/>
    </row>
    <row r="312" spans="1:11" ht="15" x14ac:dyDescent="0.25">
      <c r="A312" s="32">
        <v>309</v>
      </c>
      <c r="B312" s="33">
        <v>2621261</v>
      </c>
      <c r="C312" s="33">
        <v>1</v>
      </c>
      <c r="D312" s="33" t="s">
        <v>426</v>
      </c>
      <c r="E312" s="33" t="s">
        <v>426</v>
      </c>
      <c r="F312" s="34">
        <v>4872389.33</v>
      </c>
      <c r="G312" s="19" t="s">
        <v>427</v>
      </c>
      <c r="H312" s="35" t="s">
        <v>433</v>
      </c>
      <c r="I312" s="20" t="s">
        <v>429</v>
      </c>
      <c r="J312" s="20" t="s">
        <v>430</v>
      </c>
      <c r="K312" s="21"/>
    </row>
    <row r="313" spans="1:11" ht="15" x14ac:dyDescent="0.25">
      <c r="A313" s="32">
        <v>310</v>
      </c>
      <c r="B313" s="36">
        <v>2614883</v>
      </c>
      <c r="C313" s="33">
        <v>1</v>
      </c>
      <c r="D313" s="33" t="s">
        <v>426</v>
      </c>
      <c r="E313" s="33" t="s">
        <v>426</v>
      </c>
      <c r="F313" s="34">
        <v>4167000.86</v>
      </c>
      <c r="G313" s="19" t="s">
        <v>427</v>
      </c>
      <c r="H313" s="19" t="s">
        <v>428</v>
      </c>
      <c r="I313" s="20" t="s">
        <v>429</v>
      </c>
      <c r="J313" s="20" t="s">
        <v>430</v>
      </c>
      <c r="K313" s="21"/>
    </row>
    <row r="314" spans="1:11" ht="15" x14ac:dyDescent="0.25">
      <c r="A314" s="19">
        <v>311</v>
      </c>
      <c r="B314" s="36">
        <v>2617897</v>
      </c>
      <c r="C314" s="33">
        <v>1</v>
      </c>
      <c r="D314" s="33" t="s">
        <v>426</v>
      </c>
      <c r="E314" s="33" t="s">
        <v>426</v>
      </c>
      <c r="F314" s="34">
        <v>18938425.190000001</v>
      </c>
      <c r="G314" s="19" t="s">
        <v>427</v>
      </c>
      <c r="H314" s="19" t="s">
        <v>428</v>
      </c>
      <c r="I314" s="20" t="s">
        <v>429</v>
      </c>
      <c r="J314" s="20" t="s">
        <v>430</v>
      </c>
      <c r="K314" s="21"/>
    </row>
    <row r="315" spans="1:11" ht="15" x14ac:dyDescent="0.25">
      <c r="A315" s="19">
        <v>312</v>
      </c>
      <c r="B315" s="33">
        <v>2624446</v>
      </c>
      <c r="C315" s="33">
        <v>1</v>
      </c>
      <c r="D315" s="33" t="s">
        <v>426</v>
      </c>
      <c r="E315" s="33" t="s">
        <v>426</v>
      </c>
      <c r="F315" s="34">
        <v>40575613.009999998</v>
      </c>
      <c r="G315" s="19" t="s">
        <v>427</v>
      </c>
      <c r="H315" s="35" t="s">
        <v>433</v>
      </c>
      <c r="I315" s="20" t="s">
        <v>429</v>
      </c>
      <c r="J315" s="20" t="s">
        <v>430</v>
      </c>
      <c r="K315" s="21"/>
    </row>
    <row r="316" spans="1:11" ht="15" x14ac:dyDescent="0.25">
      <c r="A316" s="19">
        <v>313</v>
      </c>
      <c r="B316" s="36">
        <v>2286397</v>
      </c>
      <c r="C316" s="33">
        <v>1</v>
      </c>
      <c r="D316" s="33" t="s">
        <v>426</v>
      </c>
      <c r="E316" s="33" t="s">
        <v>426</v>
      </c>
      <c r="F316" s="34">
        <v>14927127.59</v>
      </c>
      <c r="G316" s="19" t="s">
        <v>427</v>
      </c>
      <c r="H316" s="19" t="s">
        <v>428</v>
      </c>
      <c r="I316" s="20" t="s">
        <v>429</v>
      </c>
      <c r="J316" s="20" t="s">
        <v>430</v>
      </c>
      <c r="K316" s="21"/>
    </row>
    <row r="317" spans="1:11" ht="15" x14ac:dyDescent="0.25">
      <c r="A317" s="19">
        <v>314</v>
      </c>
      <c r="B317" s="36">
        <v>2452682</v>
      </c>
      <c r="C317" s="33">
        <v>1</v>
      </c>
      <c r="D317" s="33" t="s">
        <v>426</v>
      </c>
      <c r="E317" s="33" t="s">
        <v>426</v>
      </c>
      <c r="F317" s="34">
        <v>15359000.060000001</v>
      </c>
      <c r="G317" s="19" t="s">
        <v>427</v>
      </c>
      <c r="H317" s="19" t="s">
        <v>428</v>
      </c>
      <c r="I317" s="20" t="s">
        <v>429</v>
      </c>
      <c r="J317" s="20" t="s">
        <v>430</v>
      </c>
      <c r="K317" s="21"/>
    </row>
    <row r="318" spans="1:11" ht="15" x14ac:dyDescent="0.25">
      <c r="A318" s="19">
        <v>315</v>
      </c>
      <c r="B318" s="36">
        <v>2602701</v>
      </c>
      <c r="C318" s="33">
        <v>1</v>
      </c>
      <c r="D318" s="33" t="s">
        <v>426</v>
      </c>
      <c r="E318" s="33" t="s">
        <v>426</v>
      </c>
      <c r="F318" s="34">
        <v>9755912</v>
      </c>
      <c r="G318" s="19" t="s">
        <v>427</v>
      </c>
      <c r="H318" s="19" t="s">
        <v>428</v>
      </c>
      <c r="I318" s="20" t="s">
        <v>429</v>
      </c>
      <c r="J318" s="20" t="s">
        <v>430</v>
      </c>
      <c r="K318" s="21"/>
    </row>
    <row r="319" spans="1:11" ht="15" x14ac:dyDescent="0.25">
      <c r="A319" s="32">
        <v>316</v>
      </c>
      <c r="B319" s="36">
        <v>2590084</v>
      </c>
      <c r="C319" s="33">
        <v>1</v>
      </c>
      <c r="D319" s="33" t="s">
        <v>426</v>
      </c>
      <c r="E319" s="33" t="s">
        <v>426</v>
      </c>
      <c r="F319" s="34">
        <v>3212839.73</v>
      </c>
      <c r="G319" s="19" t="s">
        <v>427</v>
      </c>
      <c r="H319" s="19" t="s">
        <v>428</v>
      </c>
      <c r="I319" s="20" t="s">
        <v>429</v>
      </c>
      <c r="J319" s="20" t="s">
        <v>430</v>
      </c>
      <c r="K319" s="21"/>
    </row>
    <row r="320" spans="1:11" ht="15" x14ac:dyDescent="0.25">
      <c r="A320" s="32">
        <v>317</v>
      </c>
      <c r="B320" s="36">
        <v>2589653</v>
      </c>
      <c r="C320" s="33">
        <v>1</v>
      </c>
      <c r="D320" s="33" t="s">
        <v>426</v>
      </c>
      <c r="E320" s="33" t="s">
        <v>426</v>
      </c>
      <c r="F320" s="34">
        <v>9699134</v>
      </c>
      <c r="G320" s="19" t="s">
        <v>427</v>
      </c>
      <c r="H320" s="19" t="s">
        <v>428</v>
      </c>
      <c r="I320" s="20" t="s">
        <v>429</v>
      </c>
      <c r="J320" s="20" t="s">
        <v>430</v>
      </c>
      <c r="K320" s="21"/>
    </row>
    <row r="321" spans="1:11" ht="15" x14ac:dyDescent="0.25">
      <c r="A321" s="32">
        <v>318</v>
      </c>
      <c r="B321" s="36">
        <v>2589908</v>
      </c>
      <c r="C321" s="33">
        <v>1</v>
      </c>
      <c r="D321" s="33" t="s">
        <v>426</v>
      </c>
      <c r="E321" s="33" t="s">
        <v>426</v>
      </c>
      <c r="F321" s="34">
        <v>11786924.09</v>
      </c>
      <c r="G321" s="19" t="s">
        <v>427</v>
      </c>
      <c r="H321" s="19" t="s">
        <v>428</v>
      </c>
      <c r="I321" s="20" t="s">
        <v>429</v>
      </c>
      <c r="J321" s="20" t="s">
        <v>430</v>
      </c>
      <c r="K321" s="21"/>
    </row>
    <row r="322" spans="1:11" ht="15" x14ac:dyDescent="0.25">
      <c r="A322" s="32">
        <v>319</v>
      </c>
      <c r="B322" s="36">
        <v>2602620</v>
      </c>
      <c r="C322" s="33">
        <v>1</v>
      </c>
      <c r="D322" s="33" t="s">
        <v>426</v>
      </c>
      <c r="E322" s="33" t="s">
        <v>426</v>
      </c>
      <c r="F322" s="34">
        <v>23400916.059999999</v>
      </c>
      <c r="G322" s="19" t="s">
        <v>427</v>
      </c>
      <c r="H322" s="19" t="s">
        <v>428</v>
      </c>
      <c r="I322" s="20" t="s">
        <v>429</v>
      </c>
      <c r="J322" s="20" t="s">
        <v>430</v>
      </c>
      <c r="K322" s="21"/>
    </row>
    <row r="323" spans="1:11" ht="15" x14ac:dyDescent="0.25">
      <c r="A323" s="19">
        <v>320</v>
      </c>
      <c r="B323" s="36">
        <v>2595602</v>
      </c>
      <c r="C323" s="33">
        <v>1</v>
      </c>
      <c r="D323" s="33" t="s">
        <v>426</v>
      </c>
      <c r="E323" s="33" t="s">
        <v>426</v>
      </c>
      <c r="F323" s="34">
        <v>10851371.23</v>
      </c>
      <c r="G323" s="19" t="s">
        <v>427</v>
      </c>
      <c r="H323" s="19" t="s">
        <v>428</v>
      </c>
      <c r="I323" s="20" t="s">
        <v>429</v>
      </c>
      <c r="J323" s="20" t="s">
        <v>430</v>
      </c>
      <c r="K323" s="21"/>
    </row>
    <row r="324" spans="1:11" ht="15" x14ac:dyDescent="0.25">
      <c r="A324" s="19">
        <v>321</v>
      </c>
      <c r="B324" s="36">
        <v>2532853</v>
      </c>
      <c r="C324" s="33">
        <v>1</v>
      </c>
      <c r="D324" s="33" t="s">
        <v>426</v>
      </c>
      <c r="E324" s="33" t="s">
        <v>426</v>
      </c>
      <c r="F324" s="34">
        <v>11767394.73</v>
      </c>
      <c r="G324" s="19" t="s">
        <v>427</v>
      </c>
      <c r="H324" s="19" t="s">
        <v>428</v>
      </c>
      <c r="I324" s="20" t="s">
        <v>429</v>
      </c>
      <c r="J324" s="20" t="s">
        <v>430</v>
      </c>
      <c r="K324" s="21"/>
    </row>
    <row r="325" spans="1:11" ht="15" x14ac:dyDescent="0.25">
      <c r="A325" s="19">
        <v>322</v>
      </c>
      <c r="B325" s="36">
        <v>2326760</v>
      </c>
      <c r="C325" s="33">
        <v>1</v>
      </c>
      <c r="D325" s="33" t="s">
        <v>426</v>
      </c>
      <c r="E325" s="33" t="s">
        <v>426</v>
      </c>
      <c r="F325" s="34">
        <v>43531159.210000001</v>
      </c>
      <c r="G325" s="19" t="s">
        <v>427</v>
      </c>
      <c r="H325" s="19" t="s">
        <v>428</v>
      </c>
      <c r="I325" s="20" t="s">
        <v>429</v>
      </c>
      <c r="J325" s="20" t="s">
        <v>430</v>
      </c>
      <c r="K325" s="21"/>
    </row>
    <row r="326" spans="1:11" ht="15" x14ac:dyDescent="0.25">
      <c r="A326" s="19">
        <v>323</v>
      </c>
      <c r="B326" s="36">
        <v>2293715</v>
      </c>
      <c r="C326" s="33">
        <v>1</v>
      </c>
      <c r="D326" s="33" t="s">
        <v>426</v>
      </c>
      <c r="E326" s="33" t="s">
        <v>426</v>
      </c>
      <c r="F326" s="34">
        <v>15188406.869999999</v>
      </c>
      <c r="G326" s="19" t="s">
        <v>427</v>
      </c>
      <c r="H326" s="19" t="s">
        <v>428</v>
      </c>
      <c r="I326" s="20" t="s">
        <v>429</v>
      </c>
      <c r="J326" s="20" t="s">
        <v>430</v>
      </c>
      <c r="K326" s="21"/>
    </row>
    <row r="327" spans="1:11" ht="15" x14ac:dyDescent="0.25">
      <c r="A327" s="19">
        <v>324</v>
      </c>
      <c r="B327" s="36">
        <v>2590846</v>
      </c>
      <c r="C327" s="33">
        <v>1</v>
      </c>
      <c r="D327" s="33" t="s">
        <v>426</v>
      </c>
      <c r="E327" s="33" t="s">
        <v>426</v>
      </c>
      <c r="F327" s="34">
        <v>16113846.449999999</v>
      </c>
      <c r="G327" s="19" t="s">
        <v>427</v>
      </c>
      <c r="H327" s="19" t="s">
        <v>428</v>
      </c>
      <c r="I327" s="20" t="s">
        <v>429</v>
      </c>
      <c r="J327" s="20" t="s">
        <v>430</v>
      </c>
      <c r="K327" s="21"/>
    </row>
    <row r="328" spans="1:11" ht="15" x14ac:dyDescent="0.25">
      <c r="A328" s="32">
        <v>325</v>
      </c>
      <c r="B328" s="36">
        <v>2612855</v>
      </c>
      <c r="C328" s="33">
        <v>1</v>
      </c>
      <c r="D328" s="33" t="s">
        <v>426</v>
      </c>
      <c r="E328" s="33" t="s">
        <v>426</v>
      </c>
      <c r="F328" s="34">
        <v>31872258.890000001</v>
      </c>
      <c r="G328" s="19" t="s">
        <v>427</v>
      </c>
      <c r="H328" s="19" t="s">
        <v>428</v>
      </c>
      <c r="I328" s="20" t="s">
        <v>429</v>
      </c>
      <c r="J328" s="20" t="s">
        <v>430</v>
      </c>
      <c r="K328" s="21"/>
    </row>
    <row r="329" spans="1:11" ht="15" x14ac:dyDescent="0.25">
      <c r="A329" s="32">
        <v>326</v>
      </c>
      <c r="B329" s="36">
        <v>2186364</v>
      </c>
      <c r="C329" s="33">
        <v>1</v>
      </c>
      <c r="D329" s="33" t="s">
        <v>426</v>
      </c>
      <c r="E329" s="33" t="s">
        <v>426</v>
      </c>
      <c r="F329" s="34">
        <v>13798274.75</v>
      </c>
      <c r="G329" s="19" t="s">
        <v>427</v>
      </c>
      <c r="H329" s="19" t="s">
        <v>428</v>
      </c>
      <c r="I329" s="20" t="s">
        <v>429</v>
      </c>
      <c r="J329" s="20" t="s">
        <v>430</v>
      </c>
      <c r="K329" s="21"/>
    </row>
    <row r="330" spans="1:11" ht="15" x14ac:dyDescent="0.25">
      <c r="A330" s="32">
        <v>327</v>
      </c>
      <c r="B330" s="36">
        <v>2191293</v>
      </c>
      <c r="C330" s="33">
        <v>1</v>
      </c>
      <c r="D330" s="33" t="s">
        <v>426</v>
      </c>
      <c r="E330" s="33" t="s">
        <v>426</v>
      </c>
      <c r="F330" s="34">
        <v>9869881.9700000007</v>
      </c>
      <c r="G330" s="19" t="s">
        <v>427</v>
      </c>
      <c r="H330" s="19" t="s">
        <v>428</v>
      </c>
      <c r="I330" s="20" t="s">
        <v>429</v>
      </c>
      <c r="J330" s="20" t="s">
        <v>430</v>
      </c>
      <c r="K330" s="21"/>
    </row>
    <row r="331" spans="1:11" ht="15" x14ac:dyDescent="0.25">
      <c r="A331" s="32">
        <v>328</v>
      </c>
      <c r="B331" s="36">
        <v>2528101</v>
      </c>
      <c r="C331" s="33">
        <v>1</v>
      </c>
      <c r="D331" s="33" t="s">
        <v>426</v>
      </c>
      <c r="E331" s="33" t="s">
        <v>426</v>
      </c>
      <c r="F331" s="34">
        <v>19723043.129999999</v>
      </c>
      <c r="G331" s="19" t="s">
        <v>427</v>
      </c>
      <c r="H331" s="19" t="s">
        <v>428</v>
      </c>
      <c r="I331" s="20" t="s">
        <v>429</v>
      </c>
      <c r="J331" s="20" t="s">
        <v>430</v>
      </c>
      <c r="K331" s="21"/>
    </row>
    <row r="332" spans="1:11" ht="15" x14ac:dyDescent="0.25">
      <c r="A332" s="19">
        <v>329</v>
      </c>
      <c r="B332" s="33">
        <v>2568939</v>
      </c>
      <c r="C332" s="33">
        <v>1</v>
      </c>
      <c r="D332" s="33" t="s">
        <v>426</v>
      </c>
      <c r="E332" s="33" t="s">
        <v>426</v>
      </c>
      <c r="F332" s="34">
        <v>23229923.41</v>
      </c>
      <c r="G332" s="19" t="s">
        <v>427</v>
      </c>
      <c r="H332" s="35" t="s">
        <v>433</v>
      </c>
      <c r="I332" s="20" t="s">
        <v>429</v>
      </c>
      <c r="J332" s="20" t="s">
        <v>430</v>
      </c>
      <c r="K332" s="21"/>
    </row>
    <row r="333" spans="1:11" ht="15" x14ac:dyDescent="0.25">
      <c r="A333" s="19">
        <v>330</v>
      </c>
      <c r="B333" s="36">
        <v>2499148</v>
      </c>
      <c r="C333" s="33">
        <v>1</v>
      </c>
      <c r="D333" s="33" t="s">
        <v>426</v>
      </c>
      <c r="E333" s="33" t="s">
        <v>426</v>
      </c>
      <c r="F333" s="34">
        <v>10452143.32</v>
      </c>
      <c r="G333" s="19" t="s">
        <v>427</v>
      </c>
      <c r="H333" s="19" t="s">
        <v>428</v>
      </c>
      <c r="I333" s="20" t="s">
        <v>429</v>
      </c>
      <c r="J333" s="20" t="s">
        <v>430</v>
      </c>
      <c r="K333" s="21"/>
    </row>
    <row r="334" spans="1:11" ht="15" x14ac:dyDescent="0.25">
      <c r="A334" s="19">
        <v>331</v>
      </c>
      <c r="B334" s="36">
        <v>2269329</v>
      </c>
      <c r="C334" s="33">
        <v>1</v>
      </c>
      <c r="D334" s="33" t="s">
        <v>426</v>
      </c>
      <c r="E334" s="33" t="s">
        <v>426</v>
      </c>
      <c r="F334" s="34">
        <v>12559213.6</v>
      </c>
      <c r="G334" s="19" t="s">
        <v>427</v>
      </c>
      <c r="H334" s="19" t="s">
        <v>428</v>
      </c>
      <c r="I334" s="20" t="s">
        <v>429</v>
      </c>
      <c r="J334" s="20" t="s">
        <v>430</v>
      </c>
      <c r="K334" s="21"/>
    </row>
    <row r="335" spans="1:11" ht="15" x14ac:dyDescent="0.25">
      <c r="A335" s="19">
        <v>332</v>
      </c>
      <c r="B335" s="33">
        <v>2481192</v>
      </c>
      <c r="C335" s="33">
        <v>1</v>
      </c>
      <c r="D335" s="33" t="s">
        <v>426</v>
      </c>
      <c r="E335" s="33" t="s">
        <v>426</v>
      </c>
      <c r="F335" s="34">
        <v>22941072.699999999</v>
      </c>
      <c r="G335" s="19" t="s">
        <v>427</v>
      </c>
      <c r="H335" s="35" t="s">
        <v>433</v>
      </c>
      <c r="I335" s="20" t="s">
        <v>429</v>
      </c>
      <c r="J335" s="20" t="s">
        <v>430</v>
      </c>
      <c r="K335" s="21"/>
    </row>
    <row r="336" spans="1:11" ht="15" x14ac:dyDescent="0.25">
      <c r="A336" s="19">
        <v>333</v>
      </c>
      <c r="B336" s="36">
        <v>2236325</v>
      </c>
      <c r="C336" s="33">
        <v>1</v>
      </c>
      <c r="D336" s="33" t="s">
        <v>426</v>
      </c>
      <c r="E336" s="33" t="s">
        <v>426</v>
      </c>
      <c r="F336" s="34">
        <v>16570165.85</v>
      </c>
      <c r="G336" s="19" t="s">
        <v>427</v>
      </c>
      <c r="H336" s="19" t="s">
        <v>428</v>
      </c>
      <c r="I336" s="20" t="s">
        <v>429</v>
      </c>
      <c r="J336" s="20" t="s">
        <v>430</v>
      </c>
      <c r="K336" s="21"/>
    </row>
    <row r="337" spans="1:11" ht="15" x14ac:dyDescent="0.25">
      <c r="A337" s="32">
        <v>334</v>
      </c>
      <c r="B337" s="36">
        <v>2508283</v>
      </c>
      <c r="C337" s="33">
        <v>1</v>
      </c>
      <c r="D337" s="33" t="s">
        <v>426</v>
      </c>
      <c r="E337" s="33" t="s">
        <v>426</v>
      </c>
      <c r="F337" s="34">
        <v>604021.28</v>
      </c>
      <c r="G337" s="19" t="s">
        <v>427</v>
      </c>
      <c r="H337" s="19" t="s">
        <v>428</v>
      </c>
      <c r="I337" s="20" t="s">
        <v>429</v>
      </c>
      <c r="J337" s="20" t="s">
        <v>430</v>
      </c>
      <c r="K337" s="21"/>
    </row>
    <row r="338" spans="1:11" ht="15" x14ac:dyDescent="0.25">
      <c r="A338" s="32">
        <v>335</v>
      </c>
      <c r="B338" s="36">
        <v>2484116</v>
      </c>
      <c r="C338" s="33">
        <v>1</v>
      </c>
      <c r="D338" s="33" t="s">
        <v>426</v>
      </c>
      <c r="E338" s="33" t="s">
        <v>426</v>
      </c>
      <c r="F338" s="34">
        <v>5431845.2699999996</v>
      </c>
      <c r="G338" s="19" t="s">
        <v>427</v>
      </c>
      <c r="H338" s="19" t="s">
        <v>428</v>
      </c>
      <c r="I338" s="20" t="s">
        <v>429</v>
      </c>
      <c r="J338" s="20" t="s">
        <v>430</v>
      </c>
      <c r="K338" s="21"/>
    </row>
    <row r="339" spans="1:11" ht="15" x14ac:dyDescent="0.25">
      <c r="A339" s="32">
        <v>336</v>
      </c>
      <c r="B339" s="36">
        <v>2632561</v>
      </c>
      <c r="C339" s="33">
        <v>1</v>
      </c>
      <c r="D339" s="33" t="s">
        <v>426</v>
      </c>
      <c r="E339" s="33" t="s">
        <v>426</v>
      </c>
      <c r="F339" s="34">
        <v>24057714.140000001</v>
      </c>
      <c r="G339" s="19" t="s">
        <v>427</v>
      </c>
      <c r="H339" s="19" t="s">
        <v>428</v>
      </c>
      <c r="I339" s="20" t="s">
        <v>429</v>
      </c>
      <c r="J339" s="20" t="s">
        <v>430</v>
      </c>
      <c r="K339" s="21"/>
    </row>
    <row r="340" spans="1:11" ht="15" x14ac:dyDescent="0.25">
      <c r="A340" s="32">
        <v>337</v>
      </c>
      <c r="B340" s="36">
        <v>2633780</v>
      </c>
      <c r="C340" s="33">
        <v>1</v>
      </c>
      <c r="D340" s="33" t="s">
        <v>426</v>
      </c>
      <c r="E340" s="33" t="s">
        <v>426</v>
      </c>
      <c r="F340" s="34">
        <v>23674068.600000001</v>
      </c>
      <c r="G340" s="19" t="s">
        <v>427</v>
      </c>
      <c r="H340" s="19" t="s">
        <v>428</v>
      </c>
      <c r="I340" s="20" t="s">
        <v>429</v>
      </c>
      <c r="J340" s="20" t="s">
        <v>430</v>
      </c>
      <c r="K340" s="21"/>
    </row>
    <row r="341" spans="1:11" ht="15" x14ac:dyDescent="0.25">
      <c r="A341" s="19">
        <v>338</v>
      </c>
      <c r="B341" s="36">
        <v>2557552</v>
      </c>
      <c r="C341" s="33">
        <v>1</v>
      </c>
      <c r="D341" s="33" t="s">
        <v>426</v>
      </c>
      <c r="E341" s="33" t="s">
        <v>426</v>
      </c>
      <c r="F341" s="34">
        <v>13205857.439999999</v>
      </c>
      <c r="G341" s="19" t="s">
        <v>427</v>
      </c>
      <c r="H341" s="19" t="s">
        <v>428</v>
      </c>
      <c r="I341" s="20" t="s">
        <v>429</v>
      </c>
      <c r="J341" s="20" t="s">
        <v>430</v>
      </c>
      <c r="K341" s="21"/>
    </row>
    <row r="342" spans="1:11" ht="38.25" x14ac:dyDescent="0.25">
      <c r="A342" s="19">
        <v>339</v>
      </c>
      <c r="B342" s="33">
        <v>2263417</v>
      </c>
      <c r="C342" s="33">
        <v>1</v>
      </c>
      <c r="D342" s="33" t="s">
        <v>445</v>
      </c>
      <c r="E342" s="33" t="s">
        <v>445</v>
      </c>
      <c r="F342" s="37">
        <v>7316180.3200000003</v>
      </c>
      <c r="G342" s="19" t="s">
        <v>446</v>
      </c>
      <c r="H342" s="23" t="s">
        <v>447</v>
      </c>
      <c r="I342" s="20" t="s">
        <v>429</v>
      </c>
      <c r="J342" s="20" t="s">
        <v>430</v>
      </c>
      <c r="K342" s="21"/>
    </row>
    <row r="343" spans="1:11" ht="38.25" x14ac:dyDescent="0.25">
      <c r="A343" s="19">
        <v>340</v>
      </c>
      <c r="B343" s="33">
        <v>2242326</v>
      </c>
      <c r="C343" s="33">
        <v>1</v>
      </c>
      <c r="D343" s="33" t="s">
        <v>445</v>
      </c>
      <c r="E343" s="33" t="s">
        <v>445</v>
      </c>
      <c r="F343" s="37">
        <v>14846639.9</v>
      </c>
      <c r="G343" s="19" t="s">
        <v>446</v>
      </c>
      <c r="H343" s="23" t="s">
        <v>447</v>
      </c>
      <c r="I343" s="20" t="s">
        <v>429</v>
      </c>
      <c r="J343" s="20" t="s">
        <v>430</v>
      </c>
      <c r="K343" s="21"/>
    </row>
    <row r="344" spans="1:11" ht="38.25" x14ac:dyDescent="0.25">
      <c r="A344" s="19">
        <v>341</v>
      </c>
      <c r="B344" s="33">
        <v>2665637</v>
      </c>
      <c r="C344" s="33">
        <v>1</v>
      </c>
      <c r="D344" s="33" t="s">
        <v>445</v>
      </c>
      <c r="E344" s="33" t="s">
        <v>445</v>
      </c>
      <c r="F344" s="37">
        <v>5139664.71</v>
      </c>
      <c r="G344" s="19" t="s">
        <v>446</v>
      </c>
      <c r="H344" s="23" t="s">
        <v>447</v>
      </c>
      <c r="I344" s="20" t="s">
        <v>429</v>
      </c>
      <c r="J344" s="20" t="s">
        <v>430</v>
      </c>
      <c r="K344" s="21"/>
    </row>
    <row r="345" spans="1:11" ht="38.25" x14ac:dyDescent="0.25">
      <c r="A345" s="19">
        <v>342</v>
      </c>
      <c r="B345" s="33">
        <v>2416387</v>
      </c>
      <c r="C345" s="33">
        <v>1</v>
      </c>
      <c r="D345" s="33" t="s">
        <v>445</v>
      </c>
      <c r="E345" s="33" t="s">
        <v>445</v>
      </c>
      <c r="F345" s="37">
        <v>6616694.96</v>
      </c>
      <c r="G345" s="19" t="s">
        <v>446</v>
      </c>
      <c r="H345" s="23" t="s">
        <v>447</v>
      </c>
      <c r="I345" s="20" t="s">
        <v>429</v>
      </c>
      <c r="J345" s="20" t="s">
        <v>430</v>
      </c>
      <c r="K345" s="21"/>
    </row>
    <row r="346" spans="1:11" ht="38.25" x14ac:dyDescent="0.25">
      <c r="A346" s="32">
        <v>343</v>
      </c>
      <c r="B346" s="33">
        <v>2479177</v>
      </c>
      <c r="C346" s="33">
        <v>1</v>
      </c>
      <c r="D346" s="33" t="s">
        <v>445</v>
      </c>
      <c r="E346" s="33" t="s">
        <v>445</v>
      </c>
      <c r="F346" s="37">
        <v>6418815.3600000003</v>
      </c>
      <c r="G346" s="19" t="s">
        <v>446</v>
      </c>
      <c r="H346" s="23" t="s">
        <v>447</v>
      </c>
      <c r="I346" s="20" t="s">
        <v>429</v>
      </c>
      <c r="J346" s="20" t="s">
        <v>430</v>
      </c>
      <c r="K346" s="21"/>
    </row>
    <row r="347" spans="1:11" ht="38.25" x14ac:dyDescent="0.25">
      <c r="A347" s="32">
        <v>344</v>
      </c>
      <c r="B347" s="33">
        <v>2572323</v>
      </c>
      <c r="C347" s="33">
        <v>1</v>
      </c>
      <c r="D347" s="33" t="s">
        <v>445</v>
      </c>
      <c r="E347" s="33" t="s">
        <v>445</v>
      </c>
      <c r="F347" s="37">
        <v>34383957.43</v>
      </c>
      <c r="G347" s="19" t="s">
        <v>446</v>
      </c>
      <c r="H347" s="23" t="s">
        <v>447</v>
      </c>
      <c r="I347" s="20" t="s">
        <v>429</v>
      </c>
      <c r="J347" s="20" t="s">
        <v>430</v>
      </c>
      <c r="K347" s="21"/>
    </row>
    <row r="348" spans="1:11" ht="38.25" x14ac:dyDescent="0.25">
      <c r="A348" s="32">
        <v>345</v>
      </c>
      <c r="B348" s="33">
        <v>2452409</v>
      </c>
      <c r="C348" s="33">
        <v>1</v>
      </c>
      <c r="D348" s="33" t="s">
        <v>445</v>
      </c>
      <c r="E348" s="33" t="s">
        <v>445</v>
      </c>
      <c r="F348" s="37">
        <v>6331362.25</v>
      </c>
      <c r="G348" s="19" t="s">
        <v>446</v>
      </c>
      <c r="H348" s="23" t="s">
        <v>447</v>
      </c>
      <c r="I348" s="20" t="s">
        <v>429</v>
      </c>
      <c r="J348" s="20" t="s">
        <v>430</v>
      </c>
      <c r="K348" s="21"/>
    </row>
    <row r="349" spans="1:11" ht="38.25" x14ac:dyDescent="0.25">
      <c r="A349" s="32">
        <v>346</v>
      </c>
      <c r="B349" s="33">
        <v>2626040</v>
      </c>
      <c r="C349" s="33">
        <v>1</v>
      </c>
      <c r="D349" s="33" t="s">
        <v>445</v>
      </c>
      <c r="E349" s="33" t="s">
        <v>445</v>
      </c>
      <c r="F349" s="37">
        <v>3323102.87</v>
      </c>
      <c r="G349" s="19" t="s">
        <v>446</v>
      </c>
      <c r="H349" s="23" t="s">
        <v>447</v>
      </c>
      <c r="I349" s="20" t="s">
        <v>429</v>
      </c>
      <c r="J349" s="20" t="s">
        <v>430</v>
      </c>
      <c r="K349" s="21"/>
    </row>
    <row r="350" spans="1:11" ht="38.25" x14ac:dyDescent="0.25">
      <c r="A350" s="19">
        <v>347</v>
      </c>
      <c r="B350" s="33">
        <v>2606806</v>
      </c>
      <c r="C350" s="33">
        <v>1</v>
      </c>
      <c r="D350" s="33" t="s">
        <v>445</v>
      </c>
      <c r="E350" s="33" t="s">
        <v>445</v>
      </c>
      <c r="F350" s="37">
        <v>5421374.8399999999</v>
      </c>
      <c r="G350" s="19" t="s">
        <v>446</v>
      </c>
      <c r="H350" s="23" t="s">
        <v>447</v>
      </c>
      <c r="I350" s="20" t="s">
        <v>429</v>
      </c>
      <c r="J350" s="20" t="s">
        <v>430</v>
      </c>
      <c r="K350" s="21"/>
    </row>
    <row r="351" spans="1:11" ht="38.25" x14ac:dyDescent="0.25">
      <c r="A351" s="19">
        <v>348</v>
      </c>
      <c r="B351" s="33">
        <v>2646481</v>
      </c>
      <c r="C351" s="33">
        <v>1</v>
      </c>
      <c r="D351" s="33" t="s">
        <v>445</v>
      </c>
      <c r="E351" s="33" t="s">
        <v>445</v>
      </c>
      <c r="F351" s="37">
        <v>8703917.1500000004</v>
      </c>
      <c r="G351" s="19" t="s">
        <v>446</v>
      </c>
      <c r="H351" s="23" t="s">
        <v>447</v>
      </c>
      <c r="I351" s="20" t="s">
        <v>429</v>
      </c>
      <c r="J351" s="20" t="s">
        <v>430</v>
      </c>
      <c r="K351" s="21"/>
    </row>
    <row r="352" spans="1:11" ht="38.25" x14ac:dyDescent="0.25">
      <c r="A352" s="19">
        <v>349</v>
      </c>
      <c r="B352" s="33">
        <v>2654109</v>
      </c>
      <c r="C352" s="33">
        <v>1</v>
      </c>
      <c r="D352" s="33" t="s">
        <v>445</v>
      </c>
      <c r="E352" s="33" t="s">
        <v>445</v>
      </c>
      <c r="F352" s="37">
        <v>12384744.66</v>
      </c>
      <c r="G352" s="19" t="s">
        <v>446</v>
      </c>
      <c r="H352" s="23" t="s">
        <v>447</v>
      </c>
      <c r="I352" s="20" t="s">
        <v>429</v>
      </c>
      <c r="J352" s="20" t="s">
        <v>430</v>
      </c>
      <c r="K352" s="21"/>
    </row>
    <row r="353" spans="1:11" ht="38.25" x14ac:dyDescent="0.25">
      <c r="A353" s="19">
        <v>350</v>
      </c>
      <c r="B353" s="33">
        <v>2644205</v>
      </c>
      <c r="C353" s="33">
        <v>1</v>
      </c>
      <c r="D353" s="33" t="s">
        <v>445</v>
      </c>
      <c r="E353" s="33" t="s">
        <v>445</v>
      </c>
      <c r="F353" s="37">
        <v>5650741.25</v>
      </c>
      <c r="G353" s="19" t="s">
        <v>446</v>
      </c>
      <c r="H353" s="23" t="s">
        <v>447</v>
      </c>
      <c r="I353" s="20" t="s">
        <v>429</v>
      </c>
      <c r="J353" s="20" t="s">
        <v>430</v>
      </c>
      <c r="K353" s="21"/>
    </row>
    <row r="354" spans="1:11" ht="38.25" x14ac:dyDescent="0.25">
      <c r="A354" s="19">
        <v>351</v>
      </c>
      <c r="B354" s="33">
        <v>2484007</v>
      </c>
      <c r="C354" s="33">
        <v>1</v>
      </c>
      <c r="D354" s="33" t="s">
        <v>445</v>
      </c>
      <c r="E354" s="33" t="s">
        <v>445</v>
      </c>
      <c r="F354" s="37">
        <v>4279775.38</v>
      </c>
      <c r="G354" s="19" t="s">
        <v>446</v>
      </c>
      <c r="H354" s="23" t="s">
        <v>447</v>
      </c>
      <c r="I354" s="20" t="s">
        <v>429</v>
      </c>
      <c r="J354" s="20" t="s">
        <v>430</v>
      </c>
      <c r="K354" s="21"/>
    </row>
    <row r="355" spans="1:11" ht="38.25" x14ac:dyDescent="0.25">
      <c r="A355" s="32">
        <v>352</v>
      </c>
      <c r="B355" s="33">
        <v>2300272</v>
      </c>
      <c r="C355" s="33">
        <v>1</v>
      </c>
      <c r="D355" s="33" t="s">
        <v>445</v>
      </c>
      <c r="E355" s="33" t="s">
        <v>445</v>
      </c>
      <c r="F355" s="37">
        <v>7697818.5800000001</v>
      </c>
      <c r="G355" s="19" t="s">
        <v>446</v>
      </c>
      <c r="H355" s="23" t="s">
        <v>447</v>
      </c>
      <c r="I355" s="20" t="s">
        <v>429</v>
      </c>
      <c r="J355" s="20" t="s">
        <v>430</v>
      </c>
      <c r="K355" s="21"/>
    </row>
    <row r="356" spans="1:11" ht="38.25" x14ac:dyDescent="0.25">
      <c r="A356" s="32">
        <v>353</v>
      </c>
      <c r="B356" s="33">
        <v>2570955</v>
      </c>
      <c r="C356" s="33">
        <v>1</v>
      </c>
      <c r="D356" s="33" t="s">
        <v>445</v>
      </c>
      <c r="E356" s="33" t="s">
        <v>445</v>
      </c>
      <c r="F356" s="37">
        <v>14738706.449999999</v>
      </c>
      <c r="G356" s="19" t="s">
        <v>446</v>
      </c>
      <c r="H356" s="23" t="s">
        <v>447</v>
      </c>
      <c r="I356" s="20" t="s">
        <v>429</v>
      </c>
      <c r="J356" s="20" t="s">
        <v>430</v>
      </c>
      <c r="K356" s="21"/>
    </row>
    <row r="357" spans="1:11" ht="38.25" x14ac:dyDescent="0.25">
      <c r="A357" s="32">
        <v>354</v>
      </c>
      <c r="B357" s="33">
        <v>2463107</v>
      </c>
      <c r="C357" s="33">
        <v>1</v>
      </c>
      <c r="D357" s="33" t="s">
        <v>445</v>
      </c>
      <c r="E357" s="33" t="s">
        <v>445</v>
      </c>
      <c r="F357" s="37">
        <v>14250044.99</v>
      </c>
      <c r="G357" s="19" t="s">
        <v>446</v>
      </c>
      <c r="H357" s="23" t="s">
        <v>447</v>
      </c>
      <c r="I357" s="20" t="s">
        <v>429</v>
      </c>
      <c r="J357" s="20" t="s">
        <v>430</v>
      </c>
      <c r="K357" s="21"/>
    </row>
    <row r="358" spans="1:11" ht="38.25" x14ac:dyDescent="0.25">
      <c r="A358" s="32">
        <v>355</v>
      </c>
      <c r="B358" s="33">
        <v>2586764</v>
      </c>
      <c r="C358" s="33">
        <v>1</v>
      </c>
      <c r="D358" s="33" t="s">
        <v>445</v>
      </c>
      <c r="E358" s="33" t="s">
        <v>445</v>
      </c>
      <c r="F358" s="37">
        <v>17596324.199999999</v>
      </c>
      <c r="G358" s="19" t="s">
        <v>446</v>
      </c>
      <c r="H358" s="23" t="s">
        <v>447</v>
      </c>
      <c r="I358" s="20" t="s">
        <v>429</v>
      </c>
      <c r="J358" s="20" t="s">
        <v>430</v>
      </c>
      <c r="K358" s="21"/>
    </row>
    <row r="359" spans="1:11" ht="38.25" x14ac:dyDescent="0.25">
      <c r="A359" s="19">
        <v>356</v>
      </c>
      <c r="B359" s="33">
        <v>2465554</v>
      </c>
      <c r="C359" s="33">
        <v>1</v>
      </c>
      <c r="D359" s="33" t="s">
        <v>445</v>
      </c>
      <c r="E359" s="33" t="s">
        <v>445</v>
      </c>
      <c r="F359" s="37">
        <v>6941612.7300000004</v>
      </c>
      <c r="G359" s="19" t="s">
        <v>446</v>
      </c>
      <c r="H359" s="23" t="s">
        <v>447</v>
      </c>
      <c r="I359" s="20" t="s">
        <v>429</v>
      </c>
      <c r="J359" s="20" t="s">
        <v>430</v>
      </c>
      <c r="K359" s="21"/>
    </row>
    <row r="360" spans="1:11" ht="38.25" x14ac:dyDescent="0.25">
      <c r="A360" s="19">
        <v>357</v>
      </c>
      <c r="B360" s="33">
        <v>2402779</v>
      </c>
      <c r="C360" s="33">
        <v>1</v>
      </c>
      <c r="D360" s="33" t="s">
        <v>445</v>
      </c>
      <c r="E360" s="33" t="s">
        <v>445</v>
      </c>
      <c r="F360" s="37">
        <v>7848487.1100000003</v>
      </c>
      <c r="G360" s="19" t="s">
        <v>446</v>
      </c>
      <c r="H360" s="23" t="s">
        <v>447</v>
      </c>
      <c r="I360" s="20" t="s">
        <v>429</v>
      </c>
      <c r="J360" s="20" t="s">
        <v>430</v>
      </c>
      <c r="K360" s="21"/>
    </row>
    <row r="361" spans="1:11" ht="38.25" x14ac:dyDescent="0.25">
      <c r="A361" s="19">
        <v>358</v>
      </c>
      <c r="B361" s="33">
        <v>2309898</v>
      </c>
      <c r="C361" s="33">
        <v>1</v>
      </c>
      <c r="D361" s="33" t="s">
        <v>445</v>
      </c>
      <c r="E361" s="33" t="s">
        <v>445</v>
      </c>
      <c r="F361" s="37">
        <v>8420503.6500000004</v>
      </c>
      <c r="G361" s="19" t="s">
        <v>446</v>
      </c>
      <c r="H361" s="23" t="s">
        <v>447</v>
      </c>
      <c r="I361" s="20" t="s">
        <v>429</v>
      </c>
      <c r="J361" s="20" t="s">
        <v>430</v>
      </c>
      <c r="K361" s="21"/>
    </row>
    <row r="362" spans="1:11" ht="38.25" x14ac:dyDescent="0.25">
      <c r="A362" s="19">
        <v>359</v>
      </c>
      <c r="B362" s="33">
        <v>2289563</v>
      </c>
      <c r="C362" s="33">
        <v>1</v>
      </c>
      <c r="D362" s="33" t="s">
        <v>445</v>
      </c>
      <c r="E362" s="33" t="s">
        <v>445</v>
      </c>
      <c r="F362" s="37">
        <v>9853094.9399999995</v>
      </c>
      <c r="G362" s="19" t="s">
        <v>446</v>
      </c>
      <c r="H362" s="23" t="s">
        <v>447</v>
      </c>
      <c r="I362" s="20" t="s">
        <v>429</v>
      </c>
      <c r="J362" s="20" t="s">
        <v>430</v>
      </c>
      <c r="K362" s="21"/>
    </row>
    <row r="363" spans="1:11" ht="38.25" x14ac:dyDescent="0.25">
      <c r="A363" s="19">
        <v>360</v>
      </c>
      <c r="B363" s="33">
        <v>2433735</v>
      </c>
      <c r="C363" s="33">
        <v>1</v>
      </c>
      <c r="D363" s="33" t="s">
        <v>445</v>
      </c>
      <c r="E363" s="33" t="s">
        <v>445</v>
      </c>
      <c r="F363" s="37">
        <v>17819792.27</v>
      </c>
      <c r="G363" s="19" t="s">
        <v>446</v>
      </c>
      <c r="H363" s="23" t="s">
        <v>447</v>
      </c>
      <c r="I363" s="20" t="s">
        <v>429</v>
      </c>
      <c r="J363" s="20" t="s">
        <v>430</v>
      </c>
      <c r="K363" s="21"/>
    </row>
    <row r="364" spans="1:11" ht="38.25" x14ac:dyDescent="0.25">
      <c r="A364" s="32">
        <v>361</v>
      </c>
      <c r="B364" s="33">
        <v>2212696</v>
      </c>
      <c r="C364" s="33">
        <v>1</v>
      </c>
      <c r="D364" s="33" t="s">
        <v>445</v>
      </c>
      <c r="E364" s="33" t="s">
        <v>445</v>
      </c>
      <c r="F364" s="37">
        <v>8128557.3899999997</v>
      </c>
      <c r="G364" s="19" t="s">
        <v>446</v>
      </c>
      <c r="H364" s="23" t="s">
        <v>447</v>
      </c>
      <c r="I364" s="20" t="s">
        <v>429</v>
      </c>
      <c r="J364" s="20" t="s">
        <v>430</v>
      </c>
      <c r="K364" s="21"/>
    </row>
    <row r="365" spans="1:11" ht="38.25" x14ac:dyDescent="0.25">
      <c r="A365" s="32">
        <v>362</v>
      </c>
      <c r="B365" s="33">
        <v>2678815</v>
      </c>
      <c r="C365" s="33">
        <v>1</v>
      </c>
      <c r="D365" s="33" t="s">
        <v>445</v>
      </c>
      <c r="E365" s="33" t="s">
        <v>445</v>
      </c>
      <c r="F365" s="37">
        <v>11025133.15</v>
      </c>
      <c r="G365" s="19" t="s">
        <v>446</v>
      </c>
      <c r="H365" s="23" t="s">
        <v>447</v>
      </c>
      <c r="I365" s="20" t="s">
        <v>429</v>
      </c>
      <c r="J365" s="20" t="s">
        <v>430</v>
      </c>
      <c r="K365" s="21"/>
    </row>
    <row r="366" spans="1:11" ht="38.25" x14ac:dyDescent="0.25">
      <c r="A366" s="32">
        <v>363</v>
      </c>
      <c r="B366" s="33">
        <v>2503184</v>
      </c>
      <c r="C366" s="33">
        <v>1</v>
      </c>
      <c r="D366" s="33" t="s">
        <v>445</v>
      </c>
      <c r="E366" s="33" t="s">
        <v>445</v>
      </c>
      <c r="F366" s="37">
        <v>24817552.399999999</v>
      </c>
      <c r="G366" s="19" t="s">
        <v>446</v>
      </c>
      <c r="H366" s="23" t="s">
        <v>447</v>
      </c>
      <c r="I366" s="20" t="s">
        <v>429</v>
      </c>
      <c r="J366" s="20" t="s">
        <v>430</v>
      </c>
      <c r="K366" s="21"/>
    </row>
    <row r="367" spans="1:11" ht="38.25" x14ac:dyDescent="0.25">
      <c r="A367" s="32">
        <v>364</v>
      </c>
      <c r="B367" s="33">
        <v>2371045</v>
      </c>
      <c r="C367" s="33">
        <v>1</v>
      </c>
      <c r="D367" s="33" t="s">
        <v>445</v>
      </c>
      <c r="E367" s="33" t="s">
        <v>445</v>
      </c>
      <c r="F367" s="37">
        <v>2252841.6800000002</v>
      </c>
      <c r="G367" s="19" t="s">
        <v>446</v>
      </c>
      <c r="H367" s="23" t="s">
        <v>447</v>
      </c>
      <c r="I367" s="20" t="s">
        <v>429</v>
      </c>
      <c r="J367" s="20" t="s">
        <v>430</v>
      </c>
      <c r="K367" s="21"/>
    </row>
    <row r="368" spans="1:11" ht="38.25" x14ac:dyDescent="0.25">
      <c r="A368" s="19">
        <v>365</v>
      </c>
      <c r="B368" s="33">
        <v>2571591</v>
      </c>
      <c r="C368" s="33">
        <v>1</v>
      </c>
      <c r="D368" s="33" t="s">
        <v>445</v>
      </c>
      <c r="E368" s="33" t="s">
        <v>445</v>
      </c>
      <c r="F368" s="37">
        <v>6757138.0499999998</v>
      </c>
      <c r="G368" s="19" t="s">
        <v>446</v>
      </c>
      <c r="H368" s="23" t="s">
        <v>447</v>
      </c>
      <c r="I368" s="20" t="s">
        <v>429</v>
      </c>
      <c r="J368" s="20" t="s">
        <v>430</v>
      </c>
      <c r="K368" s="21"/>
    </row>
    <row r="369" spans="1:11" ht="38.25" x14ac:dyDescent="0.25">
      <c r="A369" s="19">
        <v>366</v>
      </c>
      <c r="B369" s="33">
        <v>2654205</v>
      </c>
      <c r="C369" s="33">
        <v>1</v>
      </c>
      <c r="D369" s="33" t="s">
        <v>445</v>
      </c>
      <c r="E369" s="33" t="s">
        <v>445</v>
      </c>
      <c r="F369" s="37">
        <v>11339364.800000001</v>
      </c>
      <c r="G369" s="19" t="s">
        <v>446</v>
      </c>
      <c r="H369" s="23" t="s">
        <v>447</v>
      </c>
      <c r="I369" s="20" t="s">
        <v>429</v>
      </c>
      <c r="J369" s="20" t="s">
        <v>430</v>
      </c>
      <c r="K369" s="21"/>
    </row>
    <row r="370" spans="1:11" ht="38.25" x14ac:dyDescent="0.25">
      <c r="A370" s="19">
        <v>367</v>
      </c>
      <c r="B370" s="33">
        <v>2475431</v>
      </c>
      <c r="C370" s="33">
        <v>1</v>
      </c>
      <c r="D370" s="33" t="s">
        <v>445</v>
      </c>
      <c r="E370" s="33" t="s">
        <v>445</v>
      </c>
      <c r="F370" s="37">
        <v>6555833.4000000004</v>
      </c>
      <c r="G370" s="19" t="s">
        <v>446</v>
      </c>
      <c r="H370" s="23" t="s">
        <v>447</v>
      </c>
      <c r="I370" s="20" t="s">
        <v>429</v>
      </c>
      <c r="J370" s="20" t="s">
        <v>430</v>
      </c>
      <c r="K370" s="21"/>
    </row>
    <row r="371" spans="1:11" ht="38.25" x14ac:dyDescent="0.25">
      <c r="A371" s="19">
        <v>368</v>
      </c>
      <c r="B371" s="33">
        <v>2589704</v>
      </c>
      <c r="C371" s="33">
        <v>1</v>
      </c>
      <c r="D371" s="33" t="s">
        <v>445</v>
      </c>
      <c r="E371" s="33" t="s">
        <v>445</v>
      </c>
      <c r="F371" s="37">
        <v>12009068.09</v>
      </c>
      <c r="G371" s="19" t="s">
        <v>446</v>
      </c>
      <c r="H371" s="23" t="s">
        <v>447</v>
      </c>
      <c r="I371" s="20" t="s">
        <v>429</v>
      </c>
      <c r="J371" s="20" t="s">
        <v>430</v>
      </c>
      <c r="K371" s="21"/>
    </row>
    <row r="372" spans="1:11" ht="38.25" x14ac:dyDescent="0.25">
      <c r="A372" s="19">
        <v>369</v>
      </c>
      <c r="B372" s="33">
        <v>2609606</v>
      </c>
      <c r="C372" s="33">
        <v>1</v>
      </c>
      <c r="D372" s="33" t="s">
        <v>445</v>
      </c>
      <c r="E372" s="33" t="s">
        <v>445</v>
      </c>
      <c r="F372" s="37">
        <v>9327135.7100000009</v>
      </c>
      <c r="G372" s="19" t="s">
        <v>446</v>
      </c>
      <c r="H372" s="23" t="s">
        <v>447</v>
      </c>
      <c r="I372" s="20" t="s">
        <v>429</v>
      </c>
      <c r="J372" s="20" t="s">
        <v>430</v>
      </c>
      <c r="K372" s="21"/>
    </row>
    <row r="373" spans="1:11" ht="38.25" x14ac:dyDescent="0.25">
      <c r="A373" s="32">
        <v>370</v>
      </c>
      <c r="B373" s="33">
        <v>2310446</v>
      </c>
      <c r="C373" s="33">
        <v>1</v>
      </c>
      <c r="D373" s="33" t="s">
        <v>445</v>
      </c>
      <c r="E373" s="33" t="s">
        <v>445</v>
      </c>
      <c r="F373" s="37">
        <v>12933255</v>
      </c>
      <c r="G373" s="19" t="s">
        <v>446</v>
      </c>
      <c r="H373" s="23" t="s">
        <v>447</v>
      </c>
      <c r="I373" s="20" t="s">
        <v>429</v>
      </c>
      <c r="J373" s="20" t="s">
        <v>430</v>
      </c>
      <c r="K373" s="21"/>
    </row>
    <row r="374" spans="1:11" ht="38.25" x14ac:dyDescent="0.25">
      <c r="A374" s="32">
        <v>371</v>
      </c>
      <c r="B374" s="33">
        <v>2661708</v>
      </c>
      <c r="C374" s="33">
        <v>1</v>
      </c>
      <c r="D374" s="33" t="s">
        <v>445</v>
      </c>
      <c r="E374" s="33" t="s">
        <v>445</v>
      </c>
      <c r="F374" s="37">
        <v>8910237.0600000005</v>
      </c>
      <c r="G374" s="19" t="s">
        <v>446</v>
      </c>
      <c r="H374" s="23" t="s">
        <v>447</v>
      </c>
      <c r="I374" s="20" t="s">
        <v>429</v>
      </c>
      <c r="J374" s="20" t="s">
        <v>430</v>
      </c>
      <c r="K374" s="21"/>
    </row>
    <row r="375" spans="1:11" ht="38.25" x14ac:dyDescent="0.25">
      <c r="A375" s="32">
        <v>372</v>
      </c>
      <c r="B375" s="33">
        <v>2353529</v>
      </c>
      <c r="C375" s="33">
        <v>1</v>
      </c>
      <c r="D375" s="33" t="s">
        <v>445</v>
      </c>
      <c r="E375" s="33" t="s">
        <v>445</v>
      </c>
      <c r="F375" s="37">
        <v>10252036.800000001</v>
      </c>
      <c r="G375" s="19" t="s">
        <v>446</v>
      </c>
      <c r="H375" s="23" t="s">
        <v>447</v>
      </c>
      <c r="I375" s="20" t="s">
        <v>429</v>
      </c>
      <c r="J375" s="20" t="s">
        <v>430</v>
      </c>
      <c r="K375" s="21"/>
    </row>
    <row r="376" spans="1:11" ht="38.25" x14ac:dyDescent="0.25">
      <c r="A376" s="32">
        <v>373</v>
      </c>
      <c r="B376" s="33">
        <v>2290134</v>
      </c>
      <c r="C376" s="33">
        <v>1</v>
      </c>
      <c r="D376" s="33" t="s">
        <v>445</v>
      </c>
      <c r="E376" s="33" t="s">
        <v>445</v>
      </c>
      <c r="F376" s="37">
        <v>4084789.12</v>
      </c>
      <c r="G376" s="19" t="s">
        <v>446</v>
      </c>
      <c r="H376" s="23" t="s">
        <v>447</v>
      </c>
      <c r="I376" s="20" t="s">
        <v>429</v>
      </c>
      <c r="J376" s="20" t="s">
        <v>430</v>
      </c>
      <c r="K376" s="21"/>
    </row>
    <row r="377" spans="1:11" ht="38.25" x14ac:dyDescent="0.25">
      <c r="A377" s="19">
        <v>374</v>
      </c>
      <c r="B377" s="33">
        <v>2661621</v>
      </c>
      <c r="C377" s="33">
        <v>1</v>
      </c>
      <c r="D377" s="33" t="s">
        <v>445</v>
      </c>
      <c r="E377" s="33" t="s">
        <v>445</v>
      </c>
      <c r="F377" s="37">
        <v>32300585.199999999</v>
      </c>
      <c r="G377" s="19" t="s">
        <v>446</v>
      </c>
      <c r="H377" s="23" t="s">
        <v>447</v>
      </c>
      <c r="I377" s="20" t="s">
        <v>429</v>
      </c>
      <c r="J377" s="20" t="s">
        <v>430</v>
      </c>
      <c r="K377" s="21"/>
    </row>
    <row r="378" spans="1:11" ht="38.25" x14ac:dyDescent="0.25">
      <c r="A378" s="19">
        <v>375</v>
      </c>
      <c r="B378" s="33">
        <v>2589908</v>
      </c>
      <c r="C378" s="33">
        <v>1</v>
      </c>
      <c r="D378" s="33" t="s">
        <v>445</v>
      </c>
      <c r="E378" s="33" t="s">
        <v>445</v>
      </c>
      <c r="F378" s="37">
        <v>11786924.09</v>
      </c>
      <c r="G378" s="19" t="s">
        <v>446</v>
      </c>
      <c r="H378" s="23" t="s">
        <v>447</v>
      </c>
      <c r="I378" s="20" t="s">
        <v>429</v>
      </c>
      <c r="J378" s="20" t="s">
        <v>430</v>
      </c>
      <c r="K378" s="21"/>
    </row>
    <row r="379" spans="1:11" ht="38.25" x14ac:dyDescent="0.25">
      <c r="A379" s="19">
        <v>376</v>
      </c>
      <c r="B379" s="33">
        <v>2657542</v>
      </c>
      <c r="C379" s="33">
        <v>1</v>
      </c>
      <c r="D379" s="33" t="s">
        <v>445</v>
      </c>
      <c r="E379" s="33" t="s">
        <v>445</v>
      </c>
      <c r="F379" s="37">
        <v>20097562.18</v>
      </c>
      <c r="G379" s="19" t="s">
        <v>446</v>
      </c>
      <c r="H379" s="23" t="s">
        <v>447</v>
      </c>
      <c r="I379" s="20" t="s">
        <v>429</v>
      </c>
      <c r="J379" s="20" t="s">
        <v>430</v>
      </c>
      <c r="K379" s="21"/>
    </row>
    <row r="380" spans="1:11" ht="38.25" x14ac:dyDescent="0.25">
      <c r="A380" s="19">
        <v>377</v>
      </c>
      <c r="B380" s="33">
        <v>2655194</v>
      </c>
      <c r="C380" s="33">
        <v>1</v>
      </c>
      <c r="D380" s="33" t="s">
        <v>445</v>
      </c>
      <c r="E380" s="33" t="s">
        <v>445</v>
      </c>
      <c r="F380" s="37">
        <v>8080908.2999999998</v>
      </c>
      <c r="G380" s="19" t="s">
        <v>446</v>
      </c>
      <c r="H380" s="23" t="s">
        <v>447</v>
      </c>
      <c r="I380" s="20" t="s">
        <v>429</v>
      </c>
      <c r="J380" s="20" t="s">
        <v>430</v>
      </c>
      <c r="K380" s="21"/>
    </row>
    <row r="381" spans="1:11" ht="38.25" x14ac:dyDescent="0.25">
      <c r="A381" s="19">
        <v>378</v>
      </c>
      <c r="B381" s="33">
        <v>2605360</v>
      </c>
      <c r="C381" s="33">
        <v>1</v>
      </c>
      <c r="D381" s="33" t="s">
        <v>445</v>
      </c>
      <c r="E381" s="33" t="s">
        <v>445</v>
      </c>
      <c r="F381" s="37">
        <v>43457460.369999997</v>
      </c>
      <c r="G381" s="19" t="s">
        <v>446</v>
      </c>
      <c r="H381" s="23" t="s">
        <v>447</v>
      </c>
      <c r="I381" s="20" t="s">
        <v>429</v>
      </c>
      <c r="J381" s="20" t="s">
        <v>430</v>
      </c>
      <c r="K381" s="21"/>
    </row>
    <row r="382" spans="1:11" ht="38.25" x14ac:dyDescent="0.25">
      <c r="A382" s="32">
        <v>379</v>
      </c>
      <c r="B382" s="33">
        <v>2204140</v>
      </c>
      <c r="C382" s="33">
        <v>1</v>
      </c>
      <c r="D382" s="33" t="s">
        <v>445</v>
      </c>
      <c r="E382" s="33" t="s">
        <v>445</v>
      </c>
      <c r="F382" s="37">
        <v>8923152.9399999995</v>
      </c>
      <c r="G382" s="19" t="s">
        <v>446</v>
      </c>
      <c r="H382" s="23" t="s">
        <v>447</v>
      </c>
      <c r="I382" s="20" t="s">
        <v>429</v>
      </c>
      <c r="J382" s="20" t="s">
        <v>430</v>
      </c>
      <c r="K382" s="21"/>
    </row>
    <row r="383" spans="1:11" ht="38.25" x14ac:dyDescent="0.25">
      <c r="A383" s="32">
        <v>380</v>
      </c>
      <c r="B383" s="33">
        <v>2469413</v>
      </c>
      <c r="C383" s="33">
        <v>1</v>
      </c>
      <c r="D383" s="33" t="s">
        <v>445</v>
      </c>
      <c r="E383" s="33" t="s">
        <v>445</v>
      </c>
      <c r="F383" s="37">
        <v>35731788.229999997</v>
      </c>
      <c r="G383" s="19" t="s">
        <v>446</v>
      </c>
      <c r="H383" s="23" t="s">
        <v>447</v>
      </c>
      <c r="I383" s="20" t="s">
        <v>429</v>
      </c>
      <c r="J383" s="20" t="s">
        <v>430</v>
      </c>
      <c r="K383" s="21"/>
    </row>
    <row r="384" spans="1:11" ht="38.25" x14ac:dyDescent="0.25">
      <c r="A384" s="32">
        <v>381</v>
      </c>
      <c r="B384" s="33">
        <v>2690361</v>
      </c>
      <c r="C384" s="33">
        <v>1</v>
      </c>
      <c r="D384" s="33" t="s">
        <v>445</v>
      </c>
      <c r="E384" s="33" t="s">
        <v>445</v>
      </c>
      <c r="F384" s="37">
        <v>9711418.0700000003</v>
      </c>
      <c r="G384" s="19" t="s">
        <v>446</v>
      </c>
      <c r="H384" s="23" t="s">
        <v>447</v>
      </c>
      <c r="I384" s="20" t="s">
        <v>429</v>
      </c>
      <c r="J384" s="20" t="s">
        <v>430</v>
      </c>
      <c r="K384" s="21"/>
    </row>
    <row r="385" spans="1:11" ht="38.25" x14ac:dyDescent="0.25">
      <c r="A385" s="32">
        <v>382</v>
      </c>
      <c r="B385" s="33">
        <v>2452097</v>
      </c>
      <c r="C385" s="33">
        <v>1</v>
      </c>
      <c r="D385" s="33" t="s">
        <v>445</v>
      </c>
      <c r="E385" s="33" t="s">
        <v>445</v>
      </c>
      <c r="F385" s="37">
        <v>5942654.3600000003</v>
      </c>
      <c r="G385" s="19" t="s">
        <v>446</v>
      </c>
      <c r="H385" s="23" t="s">
        <v>447</v>
      </c>
      <c r="I385" s="20" t="s">
        <v>429</v>
      </c>
      <c r="J385" s="20" t="s">
        <v>430</v>
      </c>
      <c r="K385" s="21"/>
    </row>
    <row r="386" spans="1:11" ht="38.25" x14ac:dyDescent="0.25">
      <c r="A386" s="19">
        <v>383</v>
      </c>
      <c r="B386" s="33">
        <v>2474824</v>
      </c>
      <c r="C386" s="33">
        <v>1</v>
      </c>
      <c r="D386" s="33" t="s">
        <v>445</v>
      </c>
      <c r="E386" s="33" t="s">
        <v>445</v>
      </c>
      <c r="F386" s="37">
        <v>11218946.27</v>
      </c>
      <c r="G386" s="19" t="s">
        <v>446</v>
      </c>
      <c r="H386" s="23" t="s">
        <v>447</v>
      </c>
      <c r="I386" s="20" t="s">
        <v>429</v>
      </c>
      <c r="J386" s="20" t="s">
        <v>430</v>
      </c>
      <c r="K386" s="21"/>
    </row>
    <row r="387" spans="1:11" ht="38.25" x14ac:dyDescent="0.25">
      <c r="A387" s="19">
        <v>384</v>
      </c>
      <c r="B387" s="33">
        <v>2512265</v>
      </c>
      <c r="C387" s="33">
        <v>1</v>
      </c>
      <c r="D387" s="33" t="s">
        <v>445</v>
      </c>
      <c r="E387" s="33" t="s">
        <v>445</v>
      </c>
      <c r="F387" s="37">
        <v>21874943.579999998</v>
      </c>
      <c r="G387" s="19" t="s">
        <v>446</v>
      </c>
      <c r="H387" s="23" t="s">
        <v>447</v>
      </c>
      <c r="I387" s="20" t="s">
        <v>429</v>
      </c>
      <c r="J387" s="20" t="s">
        <v>430</v>
      </c>
      <c r="K387" s="21"/>
    </row>
    <row r="388" spans="1:11" ht="38.25" x14ac:dyDescent="0.25">
      <c r="A388" s="19">
        <v>385</v>
      </c>
      <c r="B388" s="33">
        <v>2665648</v>
      </c>
      <c r="C388" s="33">
        <v>1</v>
      </c>
      <c r="D388" s="33" t="s">
        <v>445</v>
      </c>
      <c r="E388" s="33" t="s">
        <v>445</v>
      </c>
      <c r="F388" s="37">
        <v>4309832.9000000004</v>
      </c>
      <c r="G388" s="19" t="s">
        <v>446</v>
      </c>
      <c r="H388" s="23" t="s">
        <v>447</v>
      </c>
      <c r="I388" s="20" t="s">
        <v>429</v>
      </c>
      <c r="J388" s="20" t="s">
        <v>430</v>
      </c>
      <c r="K388" s="21"/>
    </row>
    <row r="389" spans="1:11" ht="38.25" x14ac:dyDescent="0.25">
      <c r="A389" s="19">
        <v>386</v>
      </c>
      <c r="B389" s="33">
        <v>2609412</v>
      </c>
      <c r="C389" s="33">
        <v>1</v>
      </c>
      <c r="D389" s="33" t="s">
        <v>445</v>
      </c>
      <c r="E389" s="33" t="s">
        <v>445</v>
      </c>
      <c r="F389" s="37">
        <v>10599176.59</v>
      </c>
      <c r="G389" s="19" t="s">
        <v>446</v>
      </c>
      <c r="H389" s="23" t="s">
        <v>447</v>
      </c>
      <c r="I389" s="20" t="s">
        <v>429</v>
      </c>
      <c r="J389" s="20" t="s">
        <v>430</v>
      </c>
      <c r="K389" s="21"/>
    </row>
    <row r="390" spans="1:11" ht="38.25" x14ac:dyDescent="0.25">
      <c r="A390" s="19">
        <v>387</v>
      </c>
      <c r="B390" s="33">
        <v>2565660</v>
      </c>
      <c r="C390" s="33">
        <v>1</v>
      </c>
      <c r="D390" s="33" t="s">
        <v>445</v>
      </c>
      <c r="E390" s="33" t="s">
        <v>445</v>
      </c>
      <c r="F390" s="37">
        <v>35623165.119999997</v>
      </c>
      <c r="G390" s="19" t="s">
        <v>446</v>
      </c>
      <c r="H390" s="23" t="s">
        <v>447</v>
      </c>
      <c r="I390" s="20" t="s">
        <v>429</v>
      </c>
      <c r="J390" s="20" t="s">
        <v>430</v>
      </c>
      <c r="K390" s="21"/>
    </row>
    <row r="391" spans="1:11" ht="38.25" x14ac:dyDescent="0.25">
      <c r="A391" s="32">
        <v>388</v>
      </c>
      <c r="B391" s="33">
        <v>2665451</v>
      </c>
      <c r="C391" s="33">
        <v>1</v>
      </c>
      <c r="D391" s="33" t="s">
        <v>445</v>
      </c>
      <c r="E391" s="33" t="s">
        <v>445</v>
      </c>
      <c r="F391" s="37">
        <v>4270069.17</v>
      </c>
      <c r="G391" s="19" t="s">
        <v>446</v>
      </c>
      <c r="H391" s="23" t="s">
        <v>447</v>
      </c>
      <c r="I391" s="20" t="s">
        <v>429</v>
      </c>
      <c r="J391" s="20" t="s">
        <v>430</v>
      </c>
      <c r="K391" s="21"/>
    </row>
    <row r="392" spans="1:11" ht="38.25" x14ac:dyDescent="0.25">
      <c r="A392" s="32">
        <v>389</v>
      </c>
      <c r="B392" s="33">
        <v>2500588</v>
      </c>
      <c r="C392" s="33">
        <v>1</v>
      </c>
      <c r="D392" s="33" t="s">
        <v>445</v>
      </c>
      <c r="E392" s="33" t="s">
        <v>445</v>
      </c>
      <c r="F392" s="37">
        <v>4033199.52</v>
      </c>
      <c r="G392" s="19" t="s">
        <v>446</v>
      </c>
      <c r="H392" s="23" t="s">
        <v>447</v>
      </c>
      <c r="I392" s="20" t="s">
        <v>429</v>
      </c>
      <c r="J392" s="20" t="s">
        <v>430</v>
      </c>
      <c r="K392" s="21"/>
    </row>
    <row r="393" spans="1:11" ht="38.25" x14ac:dyDescent="0.25">
      <c r="A393" s="32">
        <v>390</v>
      </c>
      <c r="B393" s="33">
        <v>2211667</v>
      </c>
      <c r="C393" s="33">
        <v>1</v>
      </c>
      <c r="D393" s="33" t="s">
        <v>445</v>
      </c>
      <c r="E393" s="33" t="s">
        <v>445</v>
      </c>
      <c r="F393" s="37">
        <v>24964635.239999998</v>
      </c>
      <c r="G393" s="19" t="s">
        <v>446</v>
      </c>
      <c r="H393" s="23" t="s">
        <v>447</v>
      </c>
      <c r="I393" s="20" t="s">
        <v>429</v>
      </c>
      <c r="J393" s="20" t="s">
        <v>430</v>
      </c>
      <c r="K393" s="21"/>
    </row>
    <row r="394" spans="1:11" ht="38.25" x14ac:dyDescent="0.25">
      <c r="A394" s="32">
        <v>391</v>
      </c>
      <c r="B394" s="33">
        <v>2458610</v>
      </c>
      <c r="C394" s="33">
        <v>1</v>
      </c>
      <c r="D394" s="33" t="s">
        <v>445</v>
      </c>
      <c r="E394" s="33" t="s">
        <v>445</v>
      </c>
      <c r="F394" s="37">
        <v>15190039.25</v>
      </c>
      <c r="G394" s="19" t="s">
        <v>446</v>
      </c>
      <c r="H394" s="23" t="s">
        <v>447</v>
      </c>
      <c r="I394" s="20" t="s">
        <v>429</v>
      </c>
      <c r="J394" s="20" t="s">
        <v>430</v>
      </c>
      <c r="K394" s="21"/>
    </row>
    <row r="395" spans="1:11" ht="38.25" x14ac:dyDescent="0.25">
      <c r="A395" s="19">
        <v>392</v>
      </c>
      <c r="B395" s="33">
        <v>2314412</v>
      </c>
      <c r="C395" s="33">
        <v>1</v>
      </c>
      <c r="D395" s="33" t="s">
        <v>445</v>
      </c>
      <c r="E395" s="33" t="s">
        <v>445</v>
      </c>
      <c r="F395" s="37">
        <v>2151800.58</v>
      </c>
      <c r="G395" s="19" t="s">
        <v>446</v>
      </c>
      <c r="H395" s="23" t="s">
        <v>447</v>
      </c>
      <c r="I395" s="20" t="s">
        <v>429</v>
      </c>
      <c r="J395" s="20" t="s">
        <v>430</v>
      </c>
      <c r="K395" s="21"/>
    </row>
    <row r="396" spans="1:11" ht="38.25" x14ac:dyDescent="0.25">
      <c r="A396" s="19">
        <v>393</v>
      </c>
      <c r="B396" s="33">
        <v>2690016</v>
      </c>
      <c r="C396" s="33">
        <v>1</v>
      </c>
      <c r="D396" s="33" t="s">
        <v>445</v>
      </c>
      <c r="E396" s="33" t="s">
        <v>445</v>
      </c>
      <c r="F396" s="37">
        <v>11576595.35</v>
      </c>
      <c r="G396" s="19" t="s">
        <v>446</v>
      </c>
      <c r="H396" s="23" t="s">
        <v>447</v>
      </c>
      <c r="I396" s="20" t="s">
        <v>429</v>
      </c>
      <c r="J396" s="20" t="s">
        <v>430</v>
      </c>
      <c r="K396" s="21"/>
    </row>
    <row r="397" spans="1:11" ht="38.25" x14ac:dyDescent="0.25">
      <c r="A397" s="19">
        <v>394</v>
      </c>
      <c r="B397" s="33">
        <v>2516881</v>
      </c>
      <c r="C397" s="33">
        <v>1</v>
      </c>
      <c r="D397" s="33" t="s">
        <v>445</v>
      </c>
      <c r="E397" s="33" t="s">
        <v>445</v>
      </c>
      <c r="F397" s="37">
        <v>35401040.799999997</v>
      </c>
      <c r="G397" s="19" t="s">
        <v>446</v>
      </c>
      <c r="H397" s="23" t="s">
        <v>447</v>
      </c>
      <c r="I397" s="20" t="s">
        <v>429</v>
      </c>
      <c r="J397" s="20" t="s">
        <v>430</v>
      </c>
      <c r="K397" s="21"/>
    </row>
    <row r="398" spans="1:11" ht="38.25" x14ac:dyDescent="0.25">
      <c r="A398" s="19">
        <v>395</v>
      </c>
      <c r="B398" s="33">
        <v>2566515</v>
      </c>
      <c r="C398" s="33">
        <v>1</v>
      </c>
      <c r="D398" s="33" t="s">
        <v>445</v>
      </c>
      <c r="E398" s="33" t="s">
        <v>445</v>
      </c>
      <c r="F398" s="37">
        <v>5778114.1699999999</v>
      </c>
      <c r="G398" s="19" t="s">
        <v>446</v>
      </c>
      <c r="H398" s="23" t="s">
        <v>447</v>
      </c>
      <c r="I398" s="20" t="s">
        <v>429</v>
      </c>
      <c r="J398" s="20" t="s">
        <v>430</v>
      </c>
      <c r="K398" s="21"/>
    </row>
    <row r="399" spans="1:11" ht="38.25" x14ac:dyDescent="0.25">
      <c r="A399" s="19">
        <v>396</v>
      </c>
      <c r="B399" s="33">
        <v>2367975</v>
      </c>
      <c r="C399" s="33">
        <v>1</v>
      </c>
      <c r="D399" s="33" t="s">
        <v>445</v>
      </c>
      <c r="E399" s="33" t="s">
        <v>445</v>
      </c>
      <c r="F399" s="37">
        <v>26135947.120000001</v>
      </c>
      <c r="G399" s="19" t="s">
        <v>446</v>
      </c>
      <c r="H399" s="23" t="s">
        <v>447</v>
      </c>
      <c r="I399" s="20" t="s">
        <v>429</v>
      </c>
      <c r="J399" s="20" t="s">
        <v>430</v>
      </c>
      <c r="K399" s="21"/>
    </row>
    <row r="400" spans="1:11" ht="38.25" x14ac:dyDescent="0.25">
      <c r="A400" s="32">
        <v>397</v>
      </c>
      <c r="B400" s="33">
        <v>2506811</v>
      </c>
      <c r="C400" s="33">
        <v>1</v>
      </c>
      <c r="D400" s="33" t="s">
        <v>445</v>
      </c>
      <c r="E400" s="33" t="s">
        <v>445</v>
      </c>
      <c r="F400" s="37">
        <v>25336687.010000002</v>
      </c>
      <c r="G400" s="19" t="s">
        <v>446</v>
      </c>
      <c r="H400" s="23" t="s">
        <v>447</v>
      </c>
      <c r="I400" s="20" t="s">
        <v>429</v>
      </c>
      <c r="J400" s="20" t="s">
        <v>430</v>
      </c>
      <c r="K400" s="21"/>
    </row>
    <row r="401" spans="1:11" ht="38.25" x14ac:dyDescent="0.25">
      <c r="A401" s="32">
        <v>398</v>
      </c>
      <c r="B401" s="33">
        <v>2338819</v>
      </c>
      <c r="C401" s="33">
        <v>1</v>
      </c>
      <c r="D401" s="33" t="s">
        <v>445</v>
      </c>
      <c r="E401" s="33" t="s">
        <v>445</v>
      </c>
      <c r="F401" s="37">
        <v>12443126.07</v>
      </c>
      <c r="G401" s="19" t="s">
        <v>446</v>
      </c>
      <c r="H401" s="23" t="s">
        <v>447</v>
      </c>
      <c r="I401" s="20" t="s">
        <v>429</v>
      </c>
      <c r="J401" s="20" t="s">
        <v>430</v>
      </c>
      <c r="K401" s="21"/>
    </row>
    <row r="402" spans="1:11" ht="38.25" x14ac:dyDescent="0.25">
      <c r="A402" s="32">
        <v>399</v>
      </c>
      <c r="B402" s="33">
        <v>2597526</v>
      </c>
      <c r="C402" s="33">
        <v>1</v>
      </c>
      <c r="D402" s="33" t="s">
        <v>445</v>
      </c>
      <c r="E402" s="33" t="s">
        <v>445</v>
      </c>
      <c r="F402" s="37">
        <v>43900798.530000001</v>
      </c>
      <c r="G402" s="19" t="s">
        <v>446</v>
      </c>
      <c r="H402" s="23" t="s">
        <v>447</v>
      </c>
      <c r="I402" s="20" t="s">
        <v>429</v>
      </c>
      <c r="J402" s="20" t="s">
        <v>430</v>
      </c>
      <c r="K402" s="21"/>
    </row>
    <row r="403" spans="1:11" ht="38.25" x14ac:dyDescent="0.25">
      <c r="A403" s="32">
        <v>400</v>
      </c>
      <c r="B403" s="33">
        <v>2628003</v>
      </c>
      <c r="C403" s="33">
        <v>1</v>
      </c>
      <c r="D403" s="33" t="s">
        <v>445</v>
      </c>
      <c r="E403" s="33" t="s">
        <v>445</v>
      </c>
      <c r="F403" s="37">
        <v>6656601.3499999996</v>
      </c>
      <c r="G403" s="19" t="s">
        <v>446</v>
      </c>
      <c r="H403" s="23" t="s">
        <v>447</v>
      </c>
      <c r="I403" s="20" t="s">
        <v>429</v>
      </c>
      <c r="J403" s="20" t="s">
        <v>430</v>
      </c>
      <c r="K403" s="21"/>
    </row>
    <row r="404" spans="1:11" ht="38.25" x14ac:dyDescent="0.25">
      <c r="A404" s="19">
        <v>401</v>
      </c>
      <c r="B404" s="33">
        <v>2652233</v>
      </c>
      <c r="C404" s="33">
        <v>1</v>
      </c>
      <c r="D404" s="33" t="s">
        <v>445</v>
      </c>
      <c r="E404" s="33" t="s">
        <v>445</v>
      </c>
      <c r="F404" s="37">
        <v>10112245.529999999</v>
      </c>
      <c r="G404" s="19" t="s">
        <v>446</v>
      </c>
      <c r="H404" s="23" t="s">
        <v>447</v>
      </c>
      <c r="I404" s="20" t="s">
        <v>429</v>
      </c>
      <c r="J404" s="20" t="s">
        <v>430</v>
      </c>
      <c r="K404" s="21"/>
    </row>
    <row r="405" spans="1:11" ht="38.25" x14ac:dyDescent="0.25">
      <c r="A405" s="19">
        <v>402</v>
      </c>
      <c r="B405" s="33">
        <v>2707005</v>
      </c>
      <c r="C405" s="33">
        <v>1</v>
      </c>
      <c r="D405" s="33" t="s">
        <v>445</v>
      </c>
      <c r="E405" s="33" t="s">
        <v>445</v>
      </c>
      <c r="F405" s="37">
        <v>18548930.859999999</v>
      </c>
      <c r="G405" s="19" t="s">
        <v>446</v>
      </c>
      <c r="H405" s="23" t="s">
        <v>447</v>
      </c>
      <c r="I405" s="20" t="s">
        <v>429</v>
      </c>
      <c r="J405" s="20" t="s">
        <v>430</v>
      </c>
      <c r="K405" s="21"/>
    </row>
    <row r="406" spans="1:11" ht="38.25" x14ac:dyDescent="0.25">
      <c r="A406" s="19">
        <v>403</v>
      </c>
      <c r="B406" s="33">
        <v>2607278</v>
      </c>
      <c r="C406" s="33">
        <v>1</v>
      </c>
      <c r="D406" s="33" t="s">
        <v>445</v>
      </c>
      <c r="E406" s="33" t="s">
        <v>445</v>
      </c>
      <c r="F406" s="37">
        <v>9021784.3499999996</v>
      </c>
      <c r="G406" s="19" t="s">
        <v>446</v>
      </c>
      <c r="H406" s="23" t="s">
        <v>447</v>
      </c>
      <c r="I406" s="20" t="s">
        <v>429</v>
      </c>
      <c r="J406" s="20" t="s">
        <v>430</v>
      </c>
      <c r="K406" s="21"/>
    </row>
    <row r="407" spans="1:11" ht="38.25" x14ac:dyDescent="0.25">
      <c r="A407" s="19">
        <v>404</v>
      </c>
      <c r="B407" s="33">
        <v>2503727</v>
      </c>
      <c r="C407" s="33">
        <v>1</v>
      </c>
      <c r="D407" s="33" t="s">
        <v>445</v>
      </c>
      <c r="E407" s="33" t="s">
        <v>445</v>
      </c>
      <c r="F407" s="37">
        <v>14088823.76</v>
      </c>
      <c r="G407" s="19" t="s">
        <v>446</v>
      </c>
      <c r="H407" s="23" t="s">
        <v>447</v>
      </c>
      <c r="I407" s="20" t="s">
        <v>429</v>
      </c>
      <c r="J407" s="20" t="s">
        <v>430</v>
      </c>
      <c r="K407" s="21"/>
    </row>
    <row r="408" spans="1:11" ht="38.25" x14ac:dyDescent="0.25">
      <c r="A408" s="19">
        <v>405</v>
      </c>
      <c r="B408" s="33">
        <v>2318541</v>
      </c>
      <c r="C408" s="33">
        <v>1</v>
      </c>
      <c r="D408" s="33" t="s">
        <v>445</v>
      </c>
      <c r="E408" s="33" t="s">
        <v>445</v>
      </c>
      <c r="F408" s="37">
        <v>4468718.2699999996</v>
      </c>
      <c r="G408" s="19" t="s">
        <v>446</v>
      </c>
      <c r="H408" s="23" t="s">
        <v>447</v>
      </c>
      <c r="I408" s="20" t="s">
        <v>429</v>
      </c>
      <c r="J408" s="20" t="s">
        <v>430</v>
      </c>
      <c r="K408" s="21"/>
    </row>
    <row r="409" spans="1:11" ht="38.25" x14ac:dyDescent="0.25">
      <c r="A409" s="32">
        <v>406</v>
      </c>
      <c r="B409" s="33">
        <v>2589514</v>
      </c>
      <c r="C409" s="33">
        <v>1</v>
      </c>
      <c r="D409" s="33" t="s">
        <v>445</v>
      </c>
      <c r="E409" s="33" t="s">
        <v>445</v>
      </c>
      <c r="F409" s="37">
        <v>4065474.48</v>
      </c>
      <c r="G409" s="19" t="s">
        <v>446</v>
      </c>
      <c r="H409" s="23" t="s">
        <v>447</v>
      </c>
      <c r="I409" s="20" t="s">
        <v>429</v>
      </c>
      <c r="J409" s="20" t="s">
        <v>430</v>
      </c>
      <c r="K409" s="21"/>
    </row>
    <row r="410" spans="1:11" ht="38.25" x14ac:dyDescent="0.25">
      <c r="A410" s="32">
        <v>407</v>
      </c>
      <c r="B410" s="33">
        <v>2621447</v>
      </c>
      <c r="C410" s="33">
        <v>1</v>
      </c>
      <c r="D410" s="33" t="s">
        <v>445</v>
      </c>
      <c r="E410" s="33" t="s">
        <v>445</v>
      </c>
      <c r="F410" s="37">
        <v>7559230.5700000003</v>
      </c>
      <c r="G410" s="19" t="s">
        <v>446</v>
      </c>
      <c r="H410" s="23" t="s">
        <v>447</v>
      </c>
      <c r="I410" s="20" t="s">
        <v>429</v>
      </c>
      <c r="J410" s="20" t="s">
        <v>430</v>
      </c>
      <c r="K410" s="21"/>
    </row>
    <row r="411" spans="1:11" ht="38.25" x14ac:dyDescent="0.25">
      <c r="A411" s="32">
        <v>408</v>
      </c>
      <c r="B411" s="33">
        <v>2608141</v>
      </c>
      <c r="C411" s="33">
        <v>1</v>
      </c>
      <c r="D411" s="33" t="s">
        <v>445</v>
      </c>
      <c r="E411" s="33" t="s">
        <v>445</v>
      </c>
      <c r="F411" s="37">
        <v>12203048.65</v>
      </c>
      <c r="G411" s="19" t="s">
        <v>446</v>
      </c>
      <c r="H411" s="23" t="s">
        <v>447</v>
      </c>
      <c r="I411" s="20" t="s">
        <v>429</v>
      </c>
      <c r="J411" s="20" t="s">
        <v>430</v>
      </c>
      <c r="K411" s="21"/>
    </row>
    <row r="412" spans="1:11" ht="38.25" x14ac:dyDescent="0.25">
      <c r="A412" s="32">
        <v>409</v>
      </c>
      <c r="B412" s="33">
        <v>2646127</v>
      </c>
      <c r="C412" s="33">
        <v>1</v>
      </c>
      <c r="D412" s="33" t="s">
        <v>445</v>
      </c>
      <c r="E412" s="33" t="s">
        <v>445</v>
      </c>
      <c r="F412" s="37">
        <v>3222444.53</v>
      </c>
      <c r="G412" s="19" t="s">
        <v>446</v>
      </c>
      <c r="H412" s="23" t="s">
        <v>447</v>
      </c>
      <c r="I412" s="20" t="s">
        <v>429</v>
      </c>
      <c r="J412" s="20" t="s">
        <v>430</v>
      </c>
      <c r="K412" s="21"/>
    </row>
    <row r="413" spans="1:11" ht="38.25" x14ac:dyDescent="0.25">
      <c r="A413" s="19">
        <v>410</v>
      </c>
      <c r="B413" s="33">
        <v>2439754</v>
      </c>
      <c r="C413" s="33">
        <v>1</v>
      </c>
      <c r="D413" s="33" t="s">
        <v>445</v>
      </c>
      <c r="E413" s="33" t="s">
        <v>445</v>
      </c>
      <c r="F413" s="37">
        <v>9895071.6699999999</v>
      </c>
      <c r="G413" s="19" t="s">
        <v>446</v>
      </c>
      <c r="H413" s="23" t="s">
        <v>447</v>
      </c>
      <c r="I413" s="20" t="s">
        <v>429</v>
      </c>
      <c r="J413" s="20" t="s">
        <v>430</v>
      </c>
      <c r="K413" s="21"/>
    </row>
    <row r="414" spans="1:11" ht="38.25" x14ac:dyDescent="0.25">
      <c r="A414" s="19">
        <v>411</v>
      </c>
      <c r="B414" s="33">
        <v>2290497</v>
      </c>
      <c r="C414" s="33">
        <v>1</v>
      </c>
      <c r="D414" s="33" t="s">
        <v>445</v>
      </c>
      <c r="E414" s="33" t="s">
        <v>445</v>
      </c>
      <c r="F414" s="37">
        <v>11204173.390000001</v>
      </c>
      <c r="G414" s="19" t="s">
        <v>446</v>
      </c>
      <c r="H414" s="23" t="s">
        <v>447</v>
      </c>
      <c r="I414" s="20" t="s">
        <v>429</v>
      </c>
      <c r="J414" s="20" t="s">
        <v>430</v>
      </c>
      <c r="K414" s="21"/>
    </row>
    <row r="415" spans="1:11" ht="38.25" x14ac:dyDescent="0.25">
      <c r="A415" s="19">
        <v>412</v>
      </c>
      <c r="B415" s="33">
        <v>2452929</v>
      </c>
      <c r="C415" s="33">
        <v>1</v>
      </c>
      <c r="D415" s="33" t="s">
        <v>445</v>
      </c>
      <c r="E415" s="33" t="s">
        <v>445</v>
      </c>
      <c r="F415" s="37">
        <v>6914887.8300000001</v>
      </c>
      <c r="G415" s="19" t="s">
        <v>446</v>
      </c>
      <c r="H415" s="23" t="s">
        <v>447</v>
      </c>
      <c r="I415" s="20" t="s">
        <v>429</v>
      </c>
      <c r="J415" s="20" t="s">
        <v>430</v>
      </c>
      <c r="K415" s="21"/>
    </row>
    <row r="416" spans="1:11" ht="38.25" x14ac:dyDescent="0.25">
      <c r="A416" s="19">
        <v>413</v>
      </c>
      <c r="B416" s="33">
        <v>2344885</v>
      </c>
      <c r="C416" s="33">
        <v>1</v>
      </c>
      <c r="D416" s="33" t="s">
        <v>445</v>
      </c>
      <c r="E416" s="33" t="s">
        <v>445</v>
      </c>
      <c r="F416" s="37">
        <v>13800370.460000001</v>
      </c>
      <c r="G416" s="19" t="s">
        <v>446</v>
      </c>
      <c r="H416" s="23" t="s">
        <v>447</v>
      </c>
      <c r="I416" s="20" t="s">
        <v>429</v>
      </c>
      <c r="J416" s="20" t="s">
        <v>430</v>
      </c>
      <c r="K416" s="21"/>
    </row>
    <row r="417" spans="1:11" ht="38.25" x14ac:dyDescent="0.25">
      <c r="A417" s="19">
        <v>414</v>
      </c>
      <c r="B417" s="33">
        <v>2507694</v>
      </c>
      <c r="C417" s="33">
        <v>1</v>
      </c>
      <c r="D417" s="33" t="s">
        <v>445</v>
      </c>
      <c r="E417" s="33" t="s">
        <v>445</v>
      </c>
      <c r="F417" s="37">
        <v>48860311.43</v>
      </c>
      <c r="G417" s="19" t="s">
        <v>446</v>
      </c>
      <c r="H417" s="23" t="s">
        <v>447</v>
      </c>
      <c r="I417" s="20" t="s">
        <v>429</v>
      </c>
      <c r="J417" s="20" t="s">
        <v>430</v>
      </c>
      <c r="K417" s="21"/>
    </row>
    <row r="418" spans="1:11" ht="38.25" x14ac:dyDescent="0.25">
      <c r="A418" s="32">
        <v>415</v>
      </c>
      <c r="B418" s="33">
        <v>2335601</v>
      </c>
      <c r="C418" s="33">
        <v>1</v>
      </c>
      <c r="D418" s="33" t="s">
        <v>445</v>
      </c>
      <c r="E418" s="33" t="s">
        <v>445</v>
      </c>
      <c r="F418" s="37">
        <v>4332523.8</v>
      </c>
      <c r="G418" s="19" t="s">
        <v>446</v>
      </c>
      <c r="H418" s="23" t="s">
        <v>447</v>
      </c>
      <c r="I418" s="20" t="s">
        <v>429</v>
      </c>
      <c r="J418" s="20" t="s">
        <v>430</v>
      </c>
      <c r="K418" s="21"/>
    </row>
    <row r="419" spans="1:11" ht="38.25" x14ac:dyDescent="0.25">
      <c r="A419" s="32">
        <v>416</v>
      </c>
      <c r="B419" s="33">
        <v>2659178</v>
      </c>
      <c r="C419" s="33">
        <v>1</v>
      </c>
      <c r="D419" s="33" t="s">
        <v>445</v>
      </c>
      <c r="E419" s="33" t="s">
        <v>445</v>
      </c>
      <c r="F419" s="37">
        <v>19978222.579999998</v>
      </c>
      <c r="G419" s="19" t="s">
        <v>446</v>
      </c>
      <c r="H419" s="23" t="s">
        <v>447</v>
      </c>
      <c r="I419" s="20" t="s">
        <v>429</v>
      </c>
      <c r="J419" s="20" t="s">
        <v>430</v>
      </c>
      <c r="K419" s="21"/>
    </row>
    <row r="420" spans="1:11" ht="38.25" x14ac:dyDescent="0.25">
      <c r="A420" s="32">
        <v>417</v>
      </c>
      <c r="B420" s="33">
        <v>2592915</v>
      </c>
      <c r="C420" s="33">
        <v>1</v>
      </c>
      <c r="D420" s="33" t="s">
        <v>445</v>
      </c>
      <c r="E420" s="33" t="s">
        <v>445</v>
      </c>
      <c r="F420" s="37">
        <v>4416964</v>
      </c>
      <c r="G420" s="19" t="s">
        <v>446</v>
      </c>
      <c r="H420" s="23" t="s">
        <v>447</v>
      </c>
      <c r="I420" s="20" t="s">
        <v>429</v>
      </c>
      <c r="J420" s="20" t="s">
        <v>430</v>
      </c>
      <c r="K420" s="21"/>
    </row>
    <row r="421" spans="1:11" ht="38.25" x14ac:dyDescent="0.25">
      <c r="A421" s="32">
        <v>418</v>
      </c>
      <c r="B421" s="33">
        <v>2643462</v>
      </c>
      <c r="C421" s="33">
        <v>1</v>
      </c>
      <c r="D421" s="33" t="s">
        <v>445</v>
      </c>
      <c r="E421" s="33" t="s">
        <v>445</v>
      </c>
      <c r="F421" s="37">
        <v>13467327.07</v>
      </c>
      <c r="G421" s="19" t="s">
        <v>446</v>
      </c>
      <c r="H421" s="23" t="s">
        <v>447</v>
      </c>
      <c r="I421" s="20" t="s">
        <v>429</v>
      </c>
      <c r="J421" s="20" t="s">
        <v>430</v>
      </c>
      <c r="K421" s="21"/>
    </row>
  </sheetData>
  <autoFilter ref="A3:K421" xr:uid="{62C44E15-E530-4984-AFD7-F93F7811710C}"/>
  <mergeCells count="1">
    <mergeCell ref="A1:K1"/>
  </mergeCells>
  <conditionalFormatting sqref="B117:B132 B98:B114 B93:B95 B90 B83:B87 B63:B75 B58:B61 B46:B55 B21:B38 B8:B18 B4:B6">
    <cfRule type="duplicateValues" dxfId="3" priority="3"/>
  </conditionalFormatting>
  <conditionalFormatting sqref="B239">
    <cfRule type="duplicateValues" dxfId="2" priority="2"/>
  </conditionalFormatting>
  <conditionalFormatting sqref="F4:F341">
    <cfRule type="duplicateValues" dxfId="1" priority="1"/>
  </conditionalFormatting>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0C2FA3-6D8E-4727-BE4A-F16B8C67F48C}">
  <dimension ref="A1:U336"/>
  <sheetViews>
    <sheetView zoomScaleNormal="100" workbookViewId="0">
      <pane xSplit="4" ySplit="3" topLeftCell="E6" activePane="bottomRight" state="frozen"/>
      <selection pane="topRight" activeCell="E1" sqref="E1"/>
      <selection pane="bottomLeft" activeCell="A4" sqref="A4"/>
      <selection pane="bottomRight" activeCell="D7" sqref="D7"/>
    </sheetView>
  </sheetViews>
  <sheetFormatPr baseColWidth="10" defaultColWidth="9.140625" defaultRowHeight="12.75" x14ac:dyDescent="0.25"/>
  <cols>
    <col min="1" max="1" width="7.42578125" style="1" bestFit="1" customWidth="1"/>
    <col min="2" max="2" width="10.7109375" style="1" customWidth="1"/>
    <col min="3" max="4" width="15.28515625" style="1" customWidth="1"/>
    <col min="5" max="5" width="29" style="1" customWidth="1"/>
    <col min="6" max="9" width="17.85546875" style="1" customWidth="1"/>
    <col min="10" max="10" width="60" style="1" customWidth="1"/>
    <col min="11" max="16" width="17.85546875" style="1" customWidth="1"/>
    <col min="17" max="17" width="61.7109375" style="11" customWidth="1"/>
    <col min="18" max="18" width="15.7109375" style="9" customWidth="1"/>
    <col min="19" max="19" width="21.5703125" style="7" customWidth="1"/>
    <col min="20" max="20" width="21.85546875" style="7" customWidth="1"/>
    <col min="21" max="21" width="87.42578125" style="1" customWidth="1"/>
    <col min="22" max="16384" width="9.140625" style="1"/>
  </cols>
  <sheetData>
    <row r="1" spans="1:21" ht="45" customHeight="1" thickBot="1" x14ac:dyDescent="0.3">
      <c r="A1" s="38" t="s">
        <v>12</v>
      </c>
      <c r="B1" s="39"/>
      <c r="C1" s="39"/>
      <c r="D1" s="39"/>
      <c r="E1" s="39"/>
      <c r="F1" s="39"/>
      <c r="G1" s="39"/>
      <c r="H1" s="39"/>
      <c r="I1" s="39"/>
      <c r="J1" s="39"/>
      <c r="K1" s="39"/>
      <c r="L1" s="39"/>
      <c r="M1" s="39"/>
      <c r="N1" s="39"/>
      <c r="O1" s="39"/>
      <c r="P1" s="39"/>
      <c r="Q1" s="39"/>
      <c r="R1" s="39"/>
      <c r="S1" s="39"/>
      <c r="T1" s="39"/>
      <c r="U1" s="40"/>
    </row>
    <row r="3" spans="1:21" ht="89.25" customHeight="1" x14ac:dyDescent="0.25">
      <c r="A3" s="8" t="s">
        <v>1</v>
      </c>
      <c r="B3" s="8" t="s">
        <v>2</v>
      </c>
      <c r="C3" s="8" t="s">
        <v>13</v>
      </c>
      <c r="D3" s="8" t="s">
        <v>14</v>
      </c>
      <c r="E3" s="27" t="s">
        <v>15</v>
      </c>
      <c r="F3" s="28"/>
      <c r="G3" s="28"/>
      <c r="H3" s="28"/>
      <c r="I3" s="28"/>
      <c r="J3" s="28"/>
      <c r="K3" s="28"/>
      <c r="L3" s="28"/>
      <c r="M3" s="28"/>
      <c r="N3" s="28"/>
      <c r="O3" s="28"/>
      <c r="P3" s="29"/>
      <c r="Q3" s="4" t="s">
        <v>16</v>
      </c>
      <c r="R3" s="17" t="s">
        <v>3</v>
      </c>
      <c r="S3" s="10" t="s">
        <v>17</v>
      </c>
      <c r="T3" s="10" t="s">
        <v>18</v>
      </c>
      <c r="U3" s="8" t="s">
        <v>11</v>
      </c>
    </row>
    <row r="4" spans="1:21" s="24" customFormat="1" ht="127.5" x14ac:dyDescent="0.25">
      <c r="A4" s="23">
        <v>1</v>
      </c>
      <c r="B4" s="23">
        <v>2251707</v>
      </c>
      <c r="C4" s="23" t="s">
        <v>19</v>
      </c>
      <c r="D4" s="23">
        <v>2025</v>
      </c>
      <c r="E4" s="23" t="s">
        <v>20</v>
      </c>
      <c r="F4" s="25" t="s">
        <v>21</v>
      </c>
      <c r="G4" s="25" t="s">
        <v>22</v>
      </c>
      <c r="H4" s="25" t="s">
        <v>23</v>
      </c>
      <c r="I4" s="25" t="s">
        <v>24</v>
      </c>
      <c r="J4" s="25" t="s">
        <v>25</v>
      </c>
      <c r="K4" s="25" t="s">
        <v>26</v>
      </c>
      <c r="L4" s="25" t="s">
        <v>27</v>
      </c>
      <c r="M4" s="25">
        <v>0</v>
      </c>
      <c r="N4" s="25">
        <v>0</v>
      </c>
      <c r="O4" s="25">
        <v>0</v>
      </c>
      <c r="P4" s="25"/>
      <c r="Q4" s="23" t="s">
        <v>28</v>
      </c>
      <c r="R4" s="23">
        <v>1</v>
      </c>
      <c r="S4" s="22">
        <v>4490607</v>
      </c>
      <c r="T4" s="22">
        <v>6361743</v>
      </c>
      <c r="U4" s="26" t="s">
        <v>29</v>
      </c>
    </row>
    <row r="5" spans="1:21" s="24" customFormat="1" ht="409.5" customHeight="1" x14ac:dyDescent="0.25">
      <c r="A5" s="23">
        <v>2</v>
      </c>
      <c r="B5" s="23">
        <v>2197091</v>
      </c>
      <c r="C5" s="23" t="s">
        <v>30</v>
      </c>
      <c r="D5" s="23">
        <v>2025</v>
      </c>
      <c r="E5" s="23" t="s">
        <v>31</v>
      </c>
      <c r="F5" s="25" t="s">
        <v>25</v>
      </c>
      <c r="G5" s="25" t="s">
        <v>32</v>
      </c>
      <c r="H5" s="25" t="s">
        <v>26</v>
      </c>
      <c r="I5" s="25" t="s">
        <v>33</v>
      </c>
      <c r="J5" s="25" t="s">
        <v>27</v>
      </c>
      <c r="K5" s="25">
        <v>0</v>
      </c>
      <c r="L5" s="25">
        <v>0</v>
      </c>
      <c r="M5" s="25">
        <v>0</v>
      </c>
      <c r="N5" s="25">
        <v>0</v>
      </c>
      <c r="O5" s="25">
        <v>0</v>
      </c>
      <c r="P5" s="25"/>
      <c r="Q5" s="23" t="s">
        <v>34</v>
      </c>
      <c r="R5" s="23">
        <v>1</v>
      </c>
      <c r="S5" s="22">
        <v>66608986.969999999</v>
      </c>
      <c r="T5" s="22">
        <v>25838604</v>
      </c>
      <c r="U5" s="26" t="s">
        <v>35</v>
      </c>
    </row>
    <row r="6" spans="1:21" s="24" customFormat="1" ht="255" x14ac:dyDescent="0.25">
      <c r="A6" s="23">
        <v>3</v>
      </c>
      <c r="B6" s="23">
        <v>2250741</v>
      </c>
      <c r="C6" s="23">
        <v>2015</v>
      </c>
      <c r="D6" s="23">
        <v>2025</v>
      </c>
      <c r="E6" s="23" t="s">
        <v>20</v>
      </c>
      <c r="F6" s="25" t="s">
        <v>21</v>
      </c>
      <c r="G6" s="25" t="s">
        <v>22</v>
      </c>
      <c r="H6" s="25" t="s">
        <v>36</v>
      </c>
      <c r="I6" s="25" t="s">
        <v>23</v>
      </c>
      <c r="J6" s="25" t="s">
        <v>25</v>
      </c>
      <c r="K6" s="25" t="s">
        <v>32</v>
      </c>
      <c r="L6" s="25" t="s">
        <v>33</v>
      </c>
      <c r="M6" s="25" t="s">
        <v>27</v>
      </c>
      <c r="N6" s="25">
        <v>0</v>
      </c>
      <c r="O6" s="25">
        <v>0</v>
      </c>
      <c r="P6" s="25"/>
      <c r="Q6" s="23" t="s">
        <v>28</v>
      </c>
      <c r="R6" s="23">
        <v>5</v>
      </c>
      <c r="S6" s="22">
        <v>15095720.619999999</v>
      </c>
      <c r="T6" s="22">
        <v>14201904</v>
      </c>
      <c r="U6" s="26" t="s">
        <v>37</v>
      </c>
    </row>
    <row r="7" spans="1:21" s="24" customFormat="1" ht="409.5" customHeight="1" x14ac:dyDescent="0.25">
      <c r="A7" s="23">
        <v>4</v>
      </c>
      <c r="B7" s="23">
        <v>2194504</v>
      </c>
      <c r="C7" s="23">
        <v>2015</v>
      </c>
      <c r="D7" s="23">
        <v>2026</v>
      </c>
      <c r="E7" s="23" t="s">
        <v>38</v>
      </c>
      <c r="F7" s="25" t="s">
        <v>36</v>
      </c>
      <c r="G7" s="25" t="s">
        <v>39</v>
      </c>
      <c r="H7" s="25" t="s">
        <v>26</v>
      </c>
      <c r="I7" s="25" t="s">
        <v>33</v>
      </c>
      <c r="J7" s="25" t="s">
        <v>27</v>
      </c>
      <c r="K7" s="25" t="s">
        <v>40</v>
      </c>
      <c r="L7" s="25">
        <v>0</v>
      </c>
      <c r="M7" s="25">
        <v>0</v>
      </c>
      <c r="N7" s="25">
        <v>0</v>
      </c>
      <c r="O7" s="25">
        <v>0</v>
      </c>
      <c r="P7" s="25"/>
      <c r="Q7" s="23" t="s">
        <v>41</v>
      </c>
      <c r="R7" s="23">
        <v>1</v>
      </c>
      <c r="S7" s="22">
        <v>7586395.0300000003</v>
      </c>
      <c r="T7" s="22">
        <v>4146363</v>
      </c>
      <c r="U7" s="26" t="s">
        <v>42</v>
      </c>
    </row>
    <row r="8" spans="1:21" s="24" customFormat="1" ht="229.5" x14ac:dyDescent="0.25">
      <c r="A8" s="23">
        <v>5</v>
      </c>
      <c r="B8" s="23">
        <v>2244467</v>
      </c>
      <c r="C8" s="23" t="s">
        <v>43</v>
      </c>
      <c r="D8" s="23">
        <v>2025</v>
      </c>
      <c r="E8" s="23" t="s">
        <v>44</v>
      </c>
      <c r="F8" s="25" t="s">
        <v>23</v>
      </c>
      <c r="G8" s="25" t="s">
        <v>24</v>
      </c>
      <c r="H8" s="25" t="s">
        <v>32</v>
      </c>
      <c r="I8" s="25" t="s">
        <v>33</v>
      </c>
      <c r="J8" s="25" t="s">
        <v>27</v>
      </c>
      <c r="K8" s="25">
        <v>0</v>
      </c>
      <c r="L8" s="25">
        <v>0</v>
      </c>
      <c r="M8" s="25">
        <v>0</v>
      </c>
      <c r="N8" s="25">
        <v>0</v>
      </c>
      <c r="O8" s="25">
        <v>0</v>
      </c>
      <c r="P8" s="25"/>
      <c r="Q8" s="23" t="s">
        <v>41</v>
      </c>
      <c r="R8" s="23">
        <v>1</v>
      </c>
      <c r="S8" s="22">
        <v>10972129.970000001</v>
      </c>
      <c r="T8" s="22">
        <v>11322757</v>
      </c>
      <c r="U8" s="26" t="s">
        <v>45</v>
      </c>
    </row>
    <row r="9" spans="1:21" s="24" customFormat="1" ht="242.25" x14ac:dyDescent="0.25">
      <c r="A9" s="23">
        <v>6</v>
      </c>
      <c r="B9" s="23">
        <v>2234727</v>
      </c>
      <c r="C9" s="23">
        <v>2014</v>
      </c>
      <c r="D9" s="23">
        <v>2015</v>
      </c>
      <c r="E9" s="23" t="s">
        <v>46</v>
      </c>
      <c r="F9" s="25" t="s">
        <v>47</v>
      </c>
      <c r="G9" s="25">
        <v>0</v>
      </c>
      <c r="H9" s="25">
        <v>0</v>
      </c>
      <c r="I9" s="25">
        <v>0</v>
      </c>
      <c r="J9" s="25">
        <v>0</v>
      </c>
      <c r="K9" s="25">
        <v>0</v>
      </c>
      <c r="L9" s="25">
        <v>0</v>
      </c>
      <c r="M9" s="25">
        <v>0</v>
      </c>
      <c r="N9" s="25">
        <v>0</v>
      </c>
      <c r="O9" s="25">
        <v>0</v>
      </c>
      <c r="P9" s="25"/>
      <c r="Q9" s="23" t="s">
        <v>34</v>
      </c>
      <c r="R9" s="23">
        <v>1</v>
      </c>
      <c r="S9" s="22">
        <v>18630126.25</v>
      </c>
      <c r="T9" s="22">
        <v>9485429</v>
      </c>
      <c r="U9" s="26" t="s">
        <v>48</v>
      </c>
    </row>
    <row r="10" spans="1:21" s="24" customFormat="1" ht="409.5" customHeight="1" x14ac:dyDescent="0.25">
      <c r="A10" s="23">
        <v>7</v>
      </c>
      <c r="B10" s="23">
        <v>2127740</v>
      </c>
      <c r="C10" s="23">
        <v>2017</v>
      </c>
      <c r="D10" s="23">
        <v>2025</v>
      </c>
      <c r="E10" s="23" t="s">
        <v>44</v>
      </c>
      <c r="F10" s="25" t="s">
        <v>49</v>
      </c>
      <c r="G10" s="25" t="s">
        <v>24</v>
      </c>
      <c r="H10" s="25" t="s">
        <v>50</v>
      </c>
      <c r="I10" s="25" t="s">
        <v>39</v>
      </c>
      <c r="J10" s="25" t="s">
        <v>25</v>
      </c>
      <c r="K10" s="25" t="s">
        <v>32</v>
      </c>
      <c r="L10" s="25" t="s">
        <v>26</v>
      </c>
      <c r="M10" s="25" t="s">
        <v>33</v>
      </c>
      <c r="N10" s="25" t="s">
        <v>51</v>
      </c>
      <c r="O10" s="25" t="s">
        <v>52</v>
      </c>
      <c r="P10" s="25" t="s">
        <v>53</v>
      </c>
      <c r="Q10" s="23" t="s">
        <v>34</v>
      </c>
      <c r="R10" s="23">
        <v>1</v>
      </c>
      <c r="S10" s="22">
        <v>19174549.5</v>
      </c>
      <c r="T10" s="22">
        <v>45209949</v>
      </c>
      <c r="U10" s="26" t="s">
        <v>54</v>
      </c>
    </row>
    <row r="11" spans="1:21" s="24" customFormat="1" ht="114.75" x14ac:dyDescent="0.25">
      <c r="A11" s="23">
        <v>8</v>
      </c>
      <c r="B11" s="23">
        <v>2251149</v>
      </c>
      <c r="C11" s="23" t="s">
        <v>43</v>
      </c>
      <c r="D11" s="23">
        <v>2026</v>
      </c>
      <c r="E11" s="23" t="s">
        <v>44</v>
      </c>
      <c r="F11" s="25" t="s">
        <v>49</v>
      </c>
      <c r="G11" s="25" t="s">
        <v>55</v>
      </c>
      <c r="H11" s="25" t="s">
        <v>25</v>
      </c>
      <c r="I11" s="25" t="s">
        <v>26</v>
      </c>
      <c r="J11" s="25" t="s">
        <v>33</v>
      </c>
      <c r="K11" s="25" t="s">
        <v>27</v>
      </c>
      <c r="L11" s="25" t="s">
        <v>40</v>
      </c>
      <c r="M11" s="25">
        <v>0</v>
      </c>
      <c r="N11" s="25">
        <v>0</v>
      </c>
      <c r="O11" s="25">
        <v>0</v>
      </c>
      <c r="P11" s="25"/>
      <c r="Q11" s="23" t="s">
        <v>56</v>
      </c>
      <c r="R11" s="23">
        <v>1</v>
      </c>
      <c r="S11" s="22">
        <v>1681666.26</v>
      </c>
      <c r="T11" s="22">
        <v>3338937</v>
      </c>
      <c r="U11" s="26" t="s">
        <v>57</v>
      </c>
    </row>
    <row r="12" spans="1:21" s="24" customFormat="1" ht="204" x14ac:dyDescent="0.25">
      <c r="A12" s="23">
        <v>9</v>
      </c>
      <c r="B12" s="23">
        <v>2223453</v>
      </c>
      <c r="C12" s="23">
        <v>2014</v>
      </c>
      <c r="D12" s="23">
        <v>2015</v>
      </c>
      <c r="E12" s="23" t="s">
        <v>46</v>
      </c>
      <c r="F12" s="25" t="s">
        <v>38</v>
      </c>
      <c r="G12" s="25">
        <v>0</v>
      </c>
      <c r="H12" s="25">
        <v>0</v>
      </c>
      <c r="I12" s="25">
        <v>0</v>
      </c>
      <c r="J12" s="25">
        <v>0</v>
      </c>
      <c r="K12" s="25">
        <v>0</v>
      </c>
      <c r="L12" s="25">
        <v>0</v>
      </c>
      <c r="M12" s="25">
        <v>0</v>
      </c>
      <c r="N12" s="25">
        <v>0</v>
      </c>
      <c r="O12" s="25">
        <v>0</v>
      </c>
      <c r="P12" s="25"/>
      <c r="Q12" s="23" t="s">
        <v>41</v>
      </c>
      <c r="R12" s="23">
        <v>1</v>
      </c>
      <c r="S12" s="22">
        <v>1538027.54</v>
      </c>
      <c r="T12" s="22">
        <v>1310467</v>
      </c>
      <c r="U12" s="26" t="s">
        <v>58</v>
      </c>
    </row>
    <row r="13" spans="1:21" s="24" customFormat="1" ht="178.5" x14ac:dyDescent="0.25">
      <c r="A13" s="23">
        <v>10</v>
      </c>
      <c r="B13" s="23">
        <v>2161389</v>
      </c>
      <c r="C13" s="23">
        <v>2012</v>
      </c>
      <c r="D13" s="23">
        <v>2025</v>
      </c>
      <c r="E13" s="23" t="s">
        <v>59</v>
      </c>
      <c r="F13" s="25" t="s">
        <v>60</v>
      </c>
      <c r="G13" s="25" t="s">
        <v>39</v>
      </c>
      <c r="H13" s="25" t="s">
        <v>26</v>
      </c>
      <c r="I13" s="25" t="s">
        <v>27</v>
      </c>
      <c r="J13" s="25">
        <v>0</v>
      </c>
      <c r="K13" s="25">
        <v>0</v>
      </c>
      <c r="L13" s="25">
        <v>0</v>
      </c>
      <c r="M13" s="25">
        <v>0</v>
      </c>
      <c r="N13" s="25">
        <v>0</v>
      </c>
      <c r="O13" s="25">
        <v>0</v>
      </c>
      <c r="P13" s="25"/>
      <c r="Q13" s="23" t="s">
        <v>28</v>
      </c>
      <c r="R13" s="23">
        <v>1</v>
      </c>
      <c r="S13" s="22">
        <v>1862247.91</v>
      </c>
      <c r="T13" s="22">
        <v>1650662</v>
      </c>
      <c r="U13" s="26" t="s">
        <v>61</v>
      </c>
    </row>
    <row r="14" spans="1:21" s="24" customFormat="1" ht="409.5" customHeight="1" x14ac:dyDescent="0.25">
      <c r="A14" s="23">
        <v>11</v>
      </c>
      <c r="B14" s="23">
        <v>2217337</v>
      </c>
      <c r="C14" s="23">
        <v>2017</v>
      </c>
      <c r="D14" s="23">
        <v>2025</v>
      </c>
      <c r="E14" s="23" t="s">
        <v>36</v>
      </c>
      <c r="F14" s="25" t="s">
        <v>26</v>
      </c>
      <c r="G14" s="25" t="s">
        <v>33</v>
      </c>
      <c r="H14" s="25" t="s">
        <v>27</v>
      </c>
      <c r="I14" s="25">
        <v>0</v>
      </c>
      <c r="J14" s="25">
        <v>0</v>
      </c>
      <c r="K14" s="25">
        <v>0</v>
      </c>
      <c r="L14" s="25">
        <v>0</v>
      </c>
      <c r="M14" s="25">
        <v>0</v>
      </c>
      <c r="N14" s="25">
        <v>0</v>
      </c>
      <c r="O14" s="25">
        <v>0</v>
      </c>
      <c r="P14" s="25"/>
      <c r="Q14" s="23" t="s">
        <v>28</v>
      </c>
      <c r="R14" s="23">
        <v>1</v>
      </c>
      <c r="S14" s="22">
        <v>9017797.6899999995</v>
      </c>
      <c r="T14" s="22">
        <v>6880598</v>
      </c>
      <c r="U14" s="26" t="s">
        <v>62</v>
      </c>
    </row>
    <row r="15" spans="1:21" s="24" customFormat="1" ht="140.25" x14ac:dyDescent="0.25">
      <c r="A15" s="23">
        <v>12</v>
      </c>
      <c r="B15" s="23">
        <v>2306874</v>
      </c>
      <c r="C15" s="23" t="s">
        <v>43</v>
      </c>
      <c r="D15" s="23">
        <v>2025</v>
      </c>
      <c r="E15" s="23" t="s">
        <v>36</v>
      </c>
      <c r="F15" s="25" t="s">
        <v>49</v>
      </c>
      <c r="G15" s="25" t="s">
        <v>24</v>
      </c>
      <c r="H15" s="25" t="s">
        <v>25</v>
      </c>
      <c r="I15" s="25" t="s">
        <v>26</v>
      </c>
      <c r="J15" s="25" t="s">
        <v>27</v>
      </c>
      <c r="K15" s="25">
        <v>0</v>
      </c>
      <c r="L15" s="25">
        <v>0</v>
      </c>
      <c r="M15" s="25">
        <v>0</v>
      </c>
      <c r="N15" s="25">
        <v>0</v>
      </c>
      <c r="O15" s="25">
        <v>0</v>
      </c>
      <c r="P15" s="25"/>
      <c r="Q15" s="23" t="s">
        <v>41</v>
      </c>
      <c r="R15" s="23">
        <v>1</v>
      </c>
      <c r="S15" s="22">
        <v>2675290.9500000002</v>
      </c>
      <c r="T15" s="22">
        <v>2845155</v>
      </c>
      <c r="U15" s="26" t="s">
        <v>63</v>
      </c>
    </row>
    <row r="16" spans="1:21" s="24" customFormat="1" ht="229.5" x14ac:dyDescent="0.25">
      <c r="A16" s="23">
        <v>13</v>
      </c>
      <c r="B16" s="23">
        <v>2287277</v>
      </c>
      <c r="C16" s="23" t="s">
        <v>43</v>
      </c>
      <c r="D16" s="23">
        <v>2025</v>
      </c>
      <c r="E16" s="23" t="s">
        <v>36</v>
      </c>
      <c r="F16" s="25" t="s">
        <v>23</v>
      </c>
      <c r="G16" s="25" t="s">
        <v>24</v>
      </c>
      <c r="H16" s="25" t="s">
        <v>64</v>
      </c>
      <c r="I16" s="25" t="s">
        <v>65</v>
      </c>
      <c r="J16" s="25" t="s">
        <v>25</v>
      </c>
      <c r="K16" s="25" t="s">
        <v>32</v>
      </c>
      <c r="L16" s="25" t="s">
        <v>33</v>
      </c>
      <c r="M16" s="25" t="s">
        <v>27</v>
      </c>
      <c r="N16" s="25">
        <v>0</v>
      </c>
      <c r="O16" s="25">
        <v>0</v>
      </c>
      <c r="P16" s="25"/>
      <c r="Q16" s="23" t="s">
        <v>28</v>
      </c>
      <c r="R16" s="23">
        <v>1</v>
      </c>
      <c r="S16" s="22">
        <v>6626363.3600000003</v>
      </c>
      <c r="T16" s="22">
        <v>10877381</v>
      </c>
      <c r="U16" s="26" t="s">
        <v>66</v>
      </c>
    </row>
    <row r="17" spans="1:21" s="24" customFormat="1" ht="409.5" customHeight="1" x14ac:dyDescent="0.25">
      <c r="A17" s="23">
        <v>14</v>
      </c>
      <c r="B17" s="23">
        <v>2249822</v>
      </c>
      <c r="C17" s="23">
        <v>2017</v>
      </c>
      <c r="D17" s="23">
        <v>2025</v>
      </c>
      <c r="E17" s="23" t="s">
        <v>36</v>
      </c>
      <c r="F17" s="25" t="s">
        <v>23</v>
      </c>
      <c r="G17" s="25" t="s">
        <v>64</v>
      </c>
      <c r="H17" s="25" t="s">
        <v>65</v>
      </c>
      <c r="I17" s="25" t="s">
        <v>25</v>
      </c>
      <c r="J17" s="25" t="s">
        <v>32</v>
      </c>
      <c r="K17" s="25" t="s">
        <v>33</v>
      </c>
      <c r="L17" s="25" t="s">
        <v>27</v>
      </c>
      <c r="M17" s="25">
        <v>0</v>
      </c>
      <c r="N17" s="25">
        <v>0</v>
      </c>
      <c r="O17" s="25">
        <v>0</v>
      </c>
      <c r="P17" s="25"/>
      <c r="Q17" s="23" t="s">
        <v>67</v>
      </c>
      <c r="R17" s="23">
        <v>2</v>
      </c>
      <c r="S17" s="22">
        <v>5020987.51</v>
      </c>
      <c r="T17" s="22">
        <v>7987769</v>
      </c>
      <c r="U17" s="26" t="s">
        <v>68</v>
      </c>
    </row>
    <row r="18" spans="1:21" s="24" customFormat="1" ht="204" x14ac:dyDescent="0.25">
      <c r="A18" s="23">
        <v>15</v>
      </c>
      <c r="B18" s="23">
        <v>2304266</v>
      </c>
      <c r="C18" s="23" t="s">
        <v>43</v>
      </c>
      <c r="D18" s="23">
        <v>2025</v>
      </c>
      <c r="E18" s="23" t="s">
        <v>36</v>
      </c>
      <c r="F18" s="25" t="s">
        <v>49</v>
      </c>
      <c r="G18" s="25" t="s">
        <v>24</v>
      </c>
      <c r="H18" s="25" t="s">
        <v>25</v>
      </c>
      <c r="I18" s="25" t="s">
        <v>26</v>
      </c>
      <c r="J18" s="25" t="s">
        <v>27</v>
      </c>
      <c r="K18" s="25">
        <v>0</v>
      </c>
      <c r="L18" s="25">
        <v>0</v>
      </c>
      <c r="M18" s="25">
        <v>0</v>
      </c>
      <c r="N18" s="25">
        <v>0</v>
      </c>
      <c r="O18" s="25">
        <v>0</v>
      </c>
      <c r="P18" s="25"/>
      <c r="Q18" s="23" t="s">
        <v>28</v>
      </c>
      <c r="R18" s="23">
        <v>1</v>
      </c>
      <c r="S18" s="22">
        <v>6298610.3600000003</v>
      </c>
      <c r="T18" s="22">
        <v>4251106</v>
      </c>
      <c r="U18" s="26" t="s">
        <v>69</v>
      </c>
    </row>
    <row r="19" spans="1:21" s="24" customFormat="1" ht="409.5" customHeight="1" x14ac:dyDescent="0.25">
      <c r="A19" s="23">
        <v>16</v>
      </c>
      <c r="B19" s="23">
        <v>2231793</v>
      </c>
      <c r="C19" s="23">
        <v>2021</v>
      </c>
      <c r="D19" s="23">
        <v>2025</v>
      </c>
      <c r="E19" s="23" t="s">
        <v>70</v>
      </c>
      <c r="F19" s="25" t="s">
        <v>71</v>
      </c>
      <c r="G19" s="25" t="s">
        <v>72</v>
      </c>
      <c r="H19" s="25" t="s">
        <v>33</v>
      </c>
      <c r="I19" s="25" t="s">
        <v>27</v>
      </c>
      <c r="J19" s="25">
        <v>0</v>
      </c>
      <c r="K19" s="25">
        <v>0</v>
      </c>
      <c r="L19" s="25">
        <v>0</v>
      </c>
      <c r="M19" s="25">
        <v>0</v>
      </c>
      <c r="N19" s="25">
        <v>0</v>
      </c>
      <c r="O19" s="25">
        <v>0</v>
      </c>
      <c r="P19" s="25"/>
      <c r="Q19" s="23" t="s">
        <v>28</v>
      </c>
      <c r="R19" s="23">
        <v>1</v>
      </c>
      <c r="S19" s="22">
        <v>44693846</v>
      </c>
      <c r="T19" s="22">
        <v>48593145</v>
      </c>
      <c r="U19" s="26" t="s">
        <v>73</v>
      </c>
    </row>
    <row r="20" spans="1:21" s="24" customFormat="1" ht="191.25" x14ac:dyDescent="0.25">
      <c r="A20" s="23">
        <v>17</v>
      </c>
      <c r="B20" s="23">
        <v>2482057</v>
      </c>
      <c r="C20" s="23">
        <v>2021</v>
      </c>
      <c r="D20" s="23">
        <v>2026</v>
      </c>
      <c r="E20" s="23" t="s">
        <v>74</v>
      </c>
      <c r="F20" s="25" t="s">
        <v>75</v>
      </c>
      <c r="G20" s="25" t="s">
        <v>26</v>
      </c>
      <c r="H20" s="25" t="s">
        <v>72</v>
      </c>
      <c r="I20" s="25" t="s">
        <v>27</v>
      </c>
      <c r="J20" s="25" t="s">
        <v>40</v>
      </c>
      <c r="K20" s="25">
        <v>0</v>
      </c>
      <c r="L20" s="25">
        <v>0</v>
      </c>
      <c r="M20" s="25">
        <v>0</v>
      </c>
      <c r="N20" s="25">
        <v>0</v>
      </c>
      <c r="O20" s="25">
        <v>0</v>
      </c>
      <c r="P20" s="25"/>
      <c r="Q20" s="23" t="s">
        <v>76</v>
      </c>
      <c r="R20" s="23">
        <v>1</v>
      </c>
      <c r="S20" s="22">
        <v>70211769.010000005</v>
      </c>
      <c r="T20" s="22">
        <v>72697543</v>
      </c>
      <c r="U20" s="26" t="s">
        <v>77</v>
      </c>
    </row>
    <row r="21" spans="1:21" s="24" customFormat="1" ht="165.75" customHeight="1" x14ac:dyDescent="0.25">
      <c r="A21" s="23">
        <v>18</v>
      </c>
      <c r="B21" s="23">
        <v>2313929</v>
      </c>
      <c r="C21" s="23">
        <v>2022</v>
      </c>
      <c r="D21" s="23">
        <v>2026</v>
      </c>
      <c r="E21" s="23" t="s">
        <v>78</v>
      </c>
      <c r="F21" s="25" t="s">
        <v>26</v>
      </c>
      <c r="G21" s="25" t="s">
        <v>33</v>
      </c>
      <c r="H21" s="25" t="s">
        <v>27</v>
      </c>
      <c r="I21" s="25" t="s">
        <v>40</v>
      </c>
      <c r="J21" s="25">
        <v>0</v>
      </c>
      <c r="K21" s="25">
        <v>0</v>
      </c>
      <c r="L21" s="25">
        <v>0</v>
      </c>
      <c r="M21" s="25">
        <v>0</v>
      </c>
      <c r="N21" s="25">
        <v>0</v>
      </c>
      <c r="O21" s="25">
        <v>0</v>
      </c>
      <c r="P21" s="25"/>
      <c r="Q21" s="23" t="s">
        <v>76</v>
      </c>
      <c r="R21" s="23">
        <v>1</v>
      </c>
      <c r="S21" s="22">
        <v>83960732.469999999</v>
      </c>
      <c r="T21" s="22">
        <v>99982738</v>
      </c>
      <c r="U21" s="26" t="s">
        <v>79</v>
      </c>
    </row>
    <row r="22" spans="1:21" s="24" customFormat="1" ht="293.25" x14ac:dyDescent="0.25">
      <c r="A22" s="23">
        <v>19</v>
      </c>
      <c r="B22" s="23">
        <v>2565257</v>
      </c>
      <c r="C22" s="23">
        <v>2024</v>
      </c>
      <c r="D22" s="23">
        <v>2026</v>
      </c>
      <c r="E22" s="23" t="s">
        <v>80</v>
      </c>
      <c r="F22" s="25" t="s">
        <v>27</v>
      </c>
      <c r="G22" s="25" t="s">
        <v>40</v>
      </c>
      <c r="H22" s="25">
        <v>0</v>
      </c>
      <c r="I22" s="25">
        <v>0</v>
      </c>
      <c r="J22" s="25">
        <v>0</v>
      </c>
      <c r="K22" s="25">
        <v>0</v>
      </c>
      <c r="L22" s="25">
        <v>0</v>
      </c>
      <c r="M22" s="25">
        <v>0</v>
      </c>
      <c r="N22" s="25">
        <v>0</v>
      </c>
      <c r="O22" s="25">
        <v>0</v>
      </c>
      <c r="P22" s="25"/>
      <c r="Q22" s="23" t="s">
        <v>81</v>
      </c>
      <c r="R22" s="23">
        <v>1</v>
      </c>
      <c r="S22" s="22">
        <v>13849283.039999999</v>
      </c>
      <c r="T22" s="22">
        <v>11379289</v>
      </c>
      <c r="U22" s="26" t="s">
        <v>82</v>
      </c>
    </row>
    <row r="23" spans="1:21" s="24" customFormat="1" ht="178.5" x14ac:dyDescent="0.25">
      <c r="A23" s="23">
        <v>20</v>
      </c>
      <c r="B23" s="23">
        <v>2214588</v>
      </c>
      <c r="C23" s="23">
        <v>2013</v>
      </c>
      <c r="D23" s="23">
        <v>2025</v>
      </c>
      <c r="E23" s="23" t="s">
        <v>83</v>
      </c>
      <c r="F23" s="25" t="s">
        <v>39</v>
      </c>
      <c r="G23" s="25" t="s">
        <v>25</v>
      </c>
      <c r="H23" s="25" t="s">
        <v>26</v>
      </c>
      <c r="I23" s="25" t="s">
        <v>27</v>
      </c>
      <c r="J23" s="25">
        <v>0</v>
      </c>
      <c r="K23" s="25">
        <v>0</v>
      </c>
      <c r="L23" s="25">
        <v>0</v>
      </c>
      <c r="M23" s="25">
        <v>0</v>
      </c>
      <c r="N23" s="25">
        <v>0</v>
      </c>
      <c r="O23" s="25">
        <v>0</v>
      </c>
      <c r="P23" s="25"/>
      <c r="Q23" s="23" t="s">
        <v>28</v>
      </c>
      <c r="R23" s="23">
        <v>1</v>
      </c>
      <c r="S23" s="22">
        <v>3045174.56</v>
      </c>
      <c r="T23" s="22">
        <v>3060517</v>
      </c>
      <c r="U23" s="26" t="s">
        <v>84</v>
      </c>
    </row>
    <row r="24" spans="1:21" s="24" customFormat="1" ht="127.5" x14ac:dyDescent="0.25">
      <c r="A24" s="23">
        <v>21</v>
      </c>
      <c r="B24" s="23">
        <v>2100649</v>
      </c>
      <c r="C24" s="23">
        <v>2014</v>
      </c>
      <c r="D24" s="23">
        <v>2025</v>
      </c>
      <c r="E24" s="23" t="s">
        <v>85</v>
      </c>
      <c r="F24" s="25" t="s">
        <v>86</v>
      </c>
      <c r="G24" s="25" t="s">
        <v>72</v>
      </c>
      <c r="H24" s="25" t="s">
        <v>33</v>
      </c>
      <c r="I24" s="25" t="s">
        <v>27</v>
      </c>
      <c r="J24" s="25">
        <v>0</v>
      </c>
      <c r="K24" s="25">
        <v>0</v>
      </c>
      <c r="L24" s="25">
        <v>0</v>
      </c>
      <c r="M24" s="25">
        <v>0</v>
      </c>
      <c r="N24" s="25">
        <v>0</v>
      </c>
      <c r="O24" s="25">
        <v>0</v>
      </c>
      <c r="P24" s="25"/>
      <c r="Q24" s="23" t="s">
        <v>28</v>
      </c>
      <c r="R24" s="23">
        <v>1</v>
      </c>
      <c r="S24" s="22">
        <v>11087670.939999999</v>
      </c>
      <c r="T24" s="22">
        <v>12235233</v>
      </c>
      <c r="U24" s="26" t="s">
        <v>87</v>
      </c>
    </row>
    <row r="25" spans="1:21" s="24" customFormat="1" ht="229.5" customHeight="1" x14ac:dyDescent="0.25">
      <c r="A25" s="23">
        <v>22</v>
      </c>
      <c r="B25" s="23">
        <v>2193048</v>
      </c>
      <c r="C25" s="23">
        <v>2016</v>
      </c>
      <c r="D25" s="23">
        <v>2025</v>
      </c>
      <c r="E25" s="23" t="s">
        <v>88</v>
      </c>
      <c r="F25" s="25" t="s">
        <v>25</v>
      </c>
      <c r="G25" s="25" t="s">
        <v>32</v>
      </c>
      <c r="H25" s="25" t="s">
        <v>26</v>
      </c>
      <c r="I25" s="25" t="s">
        <v>33</v>
      </c>
      <c r="J25" s="25" t="s">
        <v>52</v>
      </c>
      <c r="K25" s="25" t="s">
        <v>27</v>
      </c>
      <c r="L25" s="25">
        <v>0</v>
      </c>
      <c r="M25" s="25">
        <v>0</v>
      </c>
      <c r="N25" s="25">
        <v>0</v>
      </c>
      <c r="O25" s="25">
        <v>0</v>
      </c>
      <c r="P25" s="25"/>
      <c r="Q25" s="23" t="s">
        <v>89</v>
      </c>
      <c r="R25" s="23">
        <v>1</v>
      </c>
      <c r="S25" s="22">
        <v>5067455.37</v>
      </c>
      <c r="T25" s="22">
        <v>3487685</v>
      </c>
      <c r="U25" s="26" t="s">
        <v>90</v>
      </c>
    </row>
    <row r="26" spans="1:21" s="24" customFormat="1" ht="409.5" customHeight="1" x14ac:dyDescent="0.25">
      <c r="A26" s="23">
        <v>23</v>
      </c>
      <c r="B26" s="23">
        <v>2195385</v>
      </c>
      <c r="C26" s="23">
        <v>2016</v>
      </c>
      <c r="D26" s="23">
        <v>2026</v>
      </c>
      <c r="E26" s="23" t="s">
        <v>22</v>
      </c>
      <c r="F26" s="25" t="s">
        <v>36</v>
      </c>
      <c r="G26" s="25" t="s">
        <v>49</v>
      </c>
      <c r="H26" s="25" t="s">
        <v>24</v>
      </c>
      <c r="I26" s="25" t="s">
        <v>25</v>
      </c>
      <c r="J26" s="25" t="s">
        <v>26</v>
      </c>
      <c r="K26" s="25" t="s">
        <v>33</v>
      </c>
      <c r="L26" s="25" t="s">
        <v>27</v>
      </c>
      <c r="M26" s="25" t="s">
        <v>40</v>
      </c>
      <c r="N26" s="25">
        <v>0</v>
      </c>
      <c r="O26" s="25">
        <v>0</v>
      </c>
      <c r="P26" s="25"/>
      <c r="Q26" s="23" t="s">
        <v>28</v>
      </c>
      <c r="R26" s="23">
        <v>6</v>
      </c>
      <c r="S26" s="22">
        <v>10462816.4</v>
      </c>
      <c r="T26" s="22">
        <v>8586861.1999999993</v>
      </c>
      <c r="U26" s="26" t="s">
        <v>91</v>
      </c>
    </row>
    <row r="27" spans="1:21" s="24" customFormat="1" ht="178.5" x14ac:dyDescent="0.25">
      <c r="A27" s="23">
        <v>24</v>
      </c>
      <c r="B27" s="23">
        <v>2247995</v>
      </c>
      <c r="C27" s="23" t="s">
        <v>19</v>
      </c>
      <c r="D27" s="23">
        <v>2025</v>
      </c>
      <c r="E27" s="23" t="s">
        <v>38</v>
      </c>
      <c r="F27" s="25" t="s">
        <v>92</v>
      </c>
      <c r="G27" s="25" t="s">
        <v>22</v>
      </c>
      <c r="H27" s="25" t="s">
        <v>23</v>
      </c>
      <c r="I27" s="25" t="s">
        <v>64</v>
      </c>
      <c r="J27" s="25" t="s">
        <v>32</v>
      </c>
      <c r="K27" s="25" t="s">
        <v>33</v>
      </c>
      <c r="L27" s="25" t="s">
        <v>27</v>
      </c>
      <c r="M27" s="25">
        <v>0</v>
      </c>
      <c r="N27" s="25">
        <v>0</v>
      </c>
      <c r="O27" s="25">
        <v>0</v>
      </c>
      <c r="P27" s="25"/>
      <c r="Q27" s="23" t="s">
        <v>28</v>
      </c>
      <c r="R27" s="23">
        <v>1</v>
      </c>
      <c r="S27" s="22">
        <v>4046027.98</v>
      </c>
      <c r="T27" s="22">
        <v>4203573</v>
      </c>
      <c r="U27" s="26" t="s">
        <v>93</v>
      </c>
    </row>
    <row r="28" spans="1:21" s="24" customFormat="1" ht="153" x14ac:dyDescent="0.25">
      <c r="A28" s="23">
        <v>25</v>
      </c>
      <c r="B28" s="23">
        <v>2251655</v>
      </c>
      <c r="C28" s="23" t="s">
        <v>19</v>
      </c>
      <c r="D28" s="23">
        <v>2025</v>
      </c>
      <c r="E28" s="23" t="s">
        <v>38</v>
      </c>
      <c r="F28" s="25" t="s">
        <v>92</v>
      </c>
      <c r="G28" s="25" t="s">
        <v>94</v>
      </c>
      <c r="H28" s="25" t="s">
        <v>23</v>
      </c>
      <c r="I28" s="25" t="s">
        <v>26</v>
      </c>
      <c r="J28" s="25" t="s">
        <v>27</v>
      </c>
      <c r="K28" s="25">
        <v>0</v>
      </c>
      <c r="L28" s="25">
        <v>0</v>
      </c>
      <c r="M28" s="25">
        <v>0</v>
      </c>
      <c r="N28" s="25">
        <v>0</v>
      </c>
      <c r="O28" s="25">
        <v>0</v>
      </c>
      <c r="P28" s="25"/>
      <c r="Q28" s="23" t="s">
        <v>41</v>
      </c>
      <c r="R28" s="23">
        <v>1</v>
      </c>
      <c r="S28" s="22">
        <v>2460159.16</v>
      </c>
      <c r="T28" s="22">
        <v>2461982</v>
      </c>
      <c r="U28" s="26" t="s">
        <v>95</v>
      </c>
    </row>
    <row r="29" spans="1:21" s="24" customFormat="1" ht="191.25" x14ac:dyDescent="0.25">
      <c r="A29" s="23">
        <v>26</v>
      </c>
      <c r="B29" s="23">
        <v>2268831</v>
      </c>
      <c r="C29" s="23">
        <v>2017</v>
      </c>
      <c r="D29" s="23">
        <v>2026</v>
      </c>
      <c r="E29" s="23" t="s">
        <v>36</v>
      </c>
      <c r="F29" s="25" t="s">
        <v>49</v>
      </c>
      <c r="G29" s="25" t="s">
        <v>24</v>
      </c>
      <c r="H29" s="25" t="s">
        <v>64</v>
      </c>
      <c r="I29" s="25" t="s">
        <v>65</v>
      </c>
      <c r="J29" s="25" t="s">
        <v>25</v>
      </c>
      <c r="K29" s="25" t="s">
        <v>32</v>
      </c>
      <c r="L29" s="25" t="s">
        <v>33</v>
      </c>
      <c r="M29" s="25" t="s">
        <v>27</v>
      </c>
      <c r="N29" s="25" t="s">
        <v>40</v>
      </c>
      <c r="O29" s="25">
        <v>0</v>
      </c>
      <c r="P29" s="25"/>
      <c r="Q29" s="23" t="s">
        <v>28</v>
      </c>
      <c r="R29" s="23">
        <v>6</v>
      </c>
      <c r="S29" s="22">
        <v>17004867.579999998</v>
      </c>
      <c r="T29" s="22">
        <v>15446888</v>
      </c>
      <c r="U29" s="26" t="s">
        <v>96</v>
      </c>
    </row>
    <row r="30" spans="1:21" s="24" customFormat="1" ht="409.5" customHeight="1" x14ac:dyDescent="0.25">
      <c r="A30" s="23">
        <v>27</v>
      </c>
      <c r="B30" s="23">
        <v>2304060</v>
      </c>
      <c r="C30" s="23" t="s">
        <v>43</v>
      </c>
      <c r="D30" s="23">
        <v>2026</v>
      </c>
      <c r="E30" s="23" t="s">
        <v>36</v>
      </c>
      <c r="F30" s="25" t="s">
        <v>49</v>
      </c>
      <c r="G30" s="25" t="s">
        <v>24</v>
      </c>
      <c r="H30" s="25" t="s">
        <v>32</v>
      </c>
      <c r="I30" s="25" t="s">
        <v>26</v>
      </c>
      <c r="J30" s="25" t="s">
        <v>33</v>
      </c>
      <c r="K30" s="25" t="s">
        <v>27</v>
      </c>
      <c r="L30" s="25" t="s">
        <v>40</v>
      </c>
      <c r="M30" s="25">
        <v>0</v>
      </c>
      <c r="N30" s="25">
        <v>0</v>
      </c>
      <c r="O30" s="25">
        <v>0</v>
      </c>
      <c r="P30" s="25"/>
      <c r="Q30" s="23" t="s">
        <v>28</v>
      </c>
      <c r="R30" s="23">
        <v>1</v>
      </c>
      <c r="S30" s="22">
        <v>1849078.54</v>
      </c>
      <c r="T30" s="22">
        <v>1949099</v>
      </c>
      <c r="U30" s="26" t="s">
        <v>97</v>
      </c>
    </row>
    <row r="31" spans="1:21" s="24" customFormat="1" ht="255" customHeight="1" x14ac:dyDescent="0.25">
      <c r="A31" s="23">
        <v>28</v>
      </c>
      <c r="B31" s="23">
        <v>2223587</v>
      </c>
      <c r="C31" s="23">
        <v>2015</v>
      </c>
      <c r="D31" s="23">
        <v>2025</v>
      </c>
      <c r="E31" s="23" t="s">
        <v>38</v>
      </c>
      <c r="F31" s="25" t="s">
        <v>92</v>
      </c>
      <c r="G31" s="25" t="s">
        <v>22</v>
      </c>
      <c r="H31" s="25" t="s">
        <v>23</v>
      </c>
      <c r="I31" s="25" t="s">
        <v>64</v>
      </c>
      <c r="J31" s="25" t="s">
        <v>25</v>
      </c>
      <c r="K31" s="25" t="s">
        <v>26</v>
      </c>
      <c r="L31" s="25" t="s">
        <v>27</v>
      </c>
      <c r="M31" s="25">
        <v>0</v>
      </c>
      <c r="N31" s="25">
        <v>0</v>
      </c>
      <c r="O31" s="25">
        <v>0</v>
      </c>
      <c r="P31" s="25"/>
      <c r="Q31" s="23" t="s">
        <v>28</v>
      </c>
      <c r="R31" s="23">
        <v>7</v>
      </c>
      <c r="S31" s="22">
        <v>1867674.94</v>
      </c>
      <c r="T31" s="22">
        <v>1908819</v>
      </c>
      <c r="U31" s="26" t="s">
        <v>98</v>
      </c>
    </row>
    <row r="32" spans="1:21" s="24" customFormat="1" ht="89.25" customHeight="1" x14ac:dyDescent="0.25">
      <c r="A32" s="23">
        <v>29</v>
      </c>
      <c r="B32" s="23">
        <v>2176070</v>
      </c>
      <c r="C32" s="23">
        <v>2015</v>
      </c>
      <c r="D32" s="23">
        <v>2025</v>
      </c>
      <c r="E32" s="23" t="s">
        <v>99</v>
      </c>
      <c r="F32" s="25" t="s">
        <v>21</v>
      </c>
      <c r="G32" s="25" t="s">
        <v>23</v>
      </c>
      <c r="H32" s="25" t="s">
        <v>26</v>
      </c>
      <c r="I32" s="25" t="s">
        <v>27</v>
      </c>
      <c r="J32" s="25">
        <v>0</v>
      </c>
      <c r="K32" s="25">
        <v>0</v>
      </c>
      <c r="L32" s="25">
        <v>0</v>
      </c>
      <c r="M32" s="25">
        <v>0</v>
      </c>
      <c r="N32" s="25">
        <v>0</v>
      </c>
      <c r="O32" s="25">
        <v>0</v>
      </c>
      <c r="P32" s="25"/>
      <c r="Q32" s="23" t="s">
        <v>28</v>
      </c>
      <c r="R32" s="23">
        <v>1</v>
      </c>
      <c r="S32" s="22">
        <v>6064379.6100000003</v>
      </c>
      <c r="T32" s="22">
        <v>6550612</v>
      </c>
      <c r="U32" s="26" t="s">
        <v>100</v>
      </c>
    </row>
    <row r="33" spans="1:21" s="24" customFormat="1" ht="306" customHeight="1" x14ac:dyDescent="0.25">
      <c r="A33" s="23">
        <v>30</v>
      </c>
      <c r="B33" s="23">
        <v>2247245</v>
      </c>
      <c r="C33" s="23" t="s">
        <v>19</v>
      </c>
      <c r="D33" s="23">
        <v>2025</v>
      </c>
      <c r="E33" s="23" t="s">
        <v>99</v>
      </c>
      <c r="F33" s="25" t="s">
        <v>21</v>
      </c>
      <c r="G33" s="25" t="s">
        <v>101</v>
      </c>
      <c r="H33" s="25" t="s">
        <v>25</v>
      </c>
      <c r="I33" s="25" t="s">
        <v>26</v>
      </c>
      <c r="J33" s="25" t="s">
        <v>27</v>
      </c>
      <c r="K33" s="25">
        <v>0</v>
      </c>
      <c r="L33" s="25">
        <v>0</v>
      </c>
      <c r="M33" s="25">
        <v>0</v>
      </c>
      <c r="N33" s="25">
        <v>0</v>
      </c>
      <c r="O33" s="25">
        <v>0</v>
      </c>
      <c r="P33" s="25"/>
      <c r="Q33" s="23" t="s">
        <v>28</v>
      </c>
      <c r="R33" s="23">
        <v>2</v>
      </c>
      <c r="S33" s="22">
        <v>7483688.8200000003</v>
      </c>
      <c r="T33" s="22">
        <v>7504437</v>
      </c>
      <c r="U33" s="26" t="s">
        <v>102</v>
      </c>
    </row>
    <row r="34" spans="1:21" s="24" customFormat="1" ht="102" customHeight="1" x14ac:dyDescent="0.25">
      <c r="A34" s="23">
        <v>31</v>
      </c>
      <c r="B34" s="23">
        <v>2242635</v>
      </c>
      <c r="C34" s="23">
        <v>2016</v>
      </c>
      <c r="D34" s="23">
        <v>2025</v>
      </c>
      <c r="E34" s="23" t="s">
        <v>88</v>
      </c>
      <c r="F34" s="25" t="s">
        <v>94</v>
      </c>
      <c r="G34" s="25" t="s">
        <v>23</v>
      </c>
      <c r="H34" s="25" t="s">
        <v>32</v>
      </c>
      <c r="I34" s="25" t="s">
        <v>33</v>
      </c>
      <c r="J34" s="25" t="s">
        <v>27</v>
      </c>
      <c r="K34" s="25">
        <v>0</v>
      </c>
      <c r="L34" s="25">
        <v>0</v>
      </c>
      <c r="M34" s="25">
        <v>0</v>
      </c>
      <c r="N34" s="25">
        <v>0</v>
      </c>
      <c r="O34" s="25">
        <v>0</v>
      </c>
      <c r="P34" s="25"/>
      <c r="Q34" s="23" t="s">
        <v>28</v>
      </c>
      <c r="R34" s="23">
        <v>1</v>
      </c>
      <c r="S34" s="22">
        <v>6897609.6200000001</v>
      </c>
      <c r="T34" s="22">
        <v>6747756</v>
      </c>
      <c r="U34" s="26" t="s">
        <v>103</v>
      </c>
    </row>
    <row r="35" spans="1:21" s="24" customFormat="1" ht="395.25" customHeight="1" x14ac:dyDescent="0.25">
      <c r="A35" s="23">
        <v>32</v>
      </c>
      <c r="B35" s="23">
        <v>2198650</v>
      </c>
      <c r="C35" s="23" t="s">
        <v>104</v>
      </c>
      <c r="D35" s="23">
        <v>2025</v>
      </c>
      <c r="E35" s="23" t="s">
        <v>22</v>
      </c>
      <c r="F35" s="25" t="s">
        <v>36</v>
      </c>
      <c r="G35" s="25" t="s">
        <v>23</v>
      </c>
      <c r="H35" s="25" t="s">
        <v>25</v>
      </c>
      <c r="I35" s="25" t="s">
        <v>26</v>
      </c>
      <c r="J35" s="25" t="s">
        <v>27</v>
      </c>
      <c r="K35" s="25">
        <v>0</v>
      </c>
      <c r="L35" s="25">
        <v>0</v>
      </c>
      <c r="M35" s="25">
        <v>0</v>
      </c>
      <c r="N35" s="25">
        <v>0</v>
      </c>
      <c r="O35" s="25">
        <v>0</v>
      </c>
      <c r="P35" s="25"/>
      <c r="Q35" s="23" t="s">
        <v>28</v>
      </c>
      <c r="R35" s="23">
        <v>1</v>
      </c>
      <c r="S35" s="22">
        <v>6622362.6100000003</v>
      </c>
      <c r="T35" s="22">
        <v>6587275</v>
      </c>
      <c r="U35" s="26" t="s">
        <v>105</v>
      </c>
    </row>
    <row r="36" spans="1:21" s="24" customFormat="1" ht="216.75" customHeight="1" x14ac:dyDescent="0.25">
      <c r="A36" s="23">
        <v>33</v>
      </c>
      <c r="B36" s="23">
        <v>2263396</v>
      </c>
      <c r="C36" s="23" t="s">
        <v>104</v>
      </c>
      <c r="D36" s="23">
        <v>2025</v>
      </c>
      <c r="E36" s="23" t="s">
        <v>22</v>
      </c>
      <c r="F36" s="25" t="s">
        <v>36</v>
      </c>
      <c r="G36" s="25" t="s">
        <v>23</v>
      </c>
      <c r="H36" s="25" t="s">
        <v>26</v>
      </c>
      <c r="I36" s="25" t="s">
        <v>27</v>
      </c>
      <c r="J36" s="25">
        <v>0</v>
      </c>
      <c r="K36" s="25">
        <v>0</v>
      </c>
      <c r="L36" s="25">
        <v>0</v>
      </c>
      <c r="M36" s="25">
        <v>0</v>
      </c>
      <c r="N36" s="25">
        <v>0</v>
      </c>
      <c r="O36" s="25">
        <v>0</v>
      </c>
      <c r="P36" s="25"/>
      <c r="Q36" s="23" t="s">
        <v>28</v>
      </c>
      <c r="R36" s="23">
        <v>1</v>
      </c>
      <c r="S36" s="22">
        <v>9721421.5899999999</v>
      </c>
      <c r="T36" s="22">
        <v>9737015</v>
      </c>
      <c r="U36" s="26" t="s">
        <v>106</v>
      </c>
    </row>
    <row r="37" spans="1:21" s="24" customFormat="1" ht="409.5" customHeight="1" x14ac:dyDescent="0.25">
      <c r="A37" s="23">
        <v>34</v>
      </c>
      <c r="B37" s="23">
        <v>2236894</v>
      </c>
      <c r="C37" s="23">
        <v>2016</v>
      </c>
      <c r="D37" s="23">
        <v>2025</v>
      </c>
      <c r="E37" s="23" t="s">
        <v>22</v>
      </c>
      <c r="F37" s="25" t="s">
        <v>23</v>
      </c>
      <c r="G37" s="25" t="s">
        <v>25</v>
      </c>
      <c r="H37" s="25" t="s">
        <v>26</v>
      </c>
      <c r="I37" s="25" t="s">
        <v>27</v>
      </c>
      <c r="J37" s="25">
        <v>0</v>
      </c>
      <c r="K37" s="25">
        <v>0</v>
      </c>
      <c r="L37" s="25">
        <v>0</v>
      </c>
      <c r="M37" s="25">
        <v>0</v>
      </c>
      <c r="N37" s="25">
        <v>0</v>
      </c>
      <c r="O37" s="25">
        <v>0</v>
      </c>
      <c r="P37" s="25"/>
      <c r="Q37" s="23" t="s">
        <v>67</v>
      </c>
      <c r="R37" s="23">
        <v>1</v>
      </c>
      <c r="S37" s="22">
        <v>7454409.7699999996</v>
      </c>
      <c r="T37" s="22">
        <v>7560411</v>
      </c>
      <c r="U37" s="26" t="s">
        <v>107</v>
      </c>
    </row>
    <row r="38" spans="1:21" s="24" customFormat="1" ht="242.25" customHeight="1" x14ac:dyDescent="0.25">
      <c r="A38" s="23">
        <v>35</v>
      </c>
      <c r="B38" s="23">
        <v>2224675</v>
      </c>
      <c r="C38" s="23">
        <v>2016</v>
      </c>
      <c r="D38" s="23">
        <v>2025</v>
      </c>
      <c r="E38" s="23" t="s">
        <v>22</v>
      </c>
      <c r="F38" s="25" t="s">
        <v>36</v>
      </c>
      <c r="G38" s="25" t="s">
        <v>23</v>
      </c>
      <c r="H38" s="25" t="s">
        <v>24</v>
      </c>
      <c r="I38" s="25" t="s">
        <v>26</v>
      </c>
      <c r="J38" s="25" t="s">
        <v>27</v>
      </c>
      <c r="K38" s="25">
        <v>0</v>
      </c>
      <c r="L38" s="25">
        <v>0</v>
      </c>
      <c r="M38" s="25">
        <v>0</v>
      </c>
      <c r="N38" s="25">
        <v>0</v>
      </c>
      <c r="O38" s="25">
        <v>0</v>
      </c>
      <c r="P38" s="25"/>
      <c r="Q38" s="23" t="s">
        <v>28</v>
      </c>
      <c r="R38" s="23">
        <v>1</v>
      </c>
      <c r="S38" s="22">
        <v>3916982.11</v>
      </c>
      <c r="T38" s="22">
        <v>3027735</v>
      </c>
      <c r="U38" s="26" t="s">
        <v>108</v>
      </c>
    </row>
    <row r="39" spans="1:21" s="24" customFormat="1" ht="242.25" customHeight="1" x14ac:dyDescent="0.25">
      <c r="A39" s="23">
        <v>36</v>
      </c>
      <c r="B39" s="23">
        <v>2149024</v>
      </c>
      <c r="C39" s="23">
        <v>2017</v>
      </c>
      <c r="D39" s="23">
        <v>2025</v>
      </c>
      <c r="E39" s="23" t="s">
        <v>109</v>
      </c>
      <c r="F39" s="25" t="s">
        <v>23</v>
      </c>
      <c r="G39" s="25" t="s">
        <v>25</v>
      </c>
      <c r="H39" s="25" t="s">
        <v>26</v>
      </c>
      <c r="I39" s="25" t="s">
        <v>27</v>
      </c>
      <c r="J39" s="25">
        <v>0</v>
      </c>
      <c r="K39" s="25">
        <v>0</v>
      </c>
      <c r="L39" s="25">
        <v>0</v>
      </c>
      <c r="M39" s="25">
        <v>0</v>
      </c>
      <c r="N39" s="25">
        <v>0</v>
      </c>
      <c r="O39" s="25">
        <v>0</v>
      </c>
      <c r="P39" s="25"/>
      <c r="Q39" s="23" t="s">
        <v>28</v>
      </c>
      <c r="R39" s="23">
        <v>1</v>
      </c>
      <c r="S39" s="22">
        <v>6145204.0300000003</v>
      </c>
      <c r="T39" s="22">
        <v>5776879</v>
      </c>
      <c r="U39" s="26" t="s">
        <v>110</v>
      </c>
    </row>
    <row r="40" spans="1:21" s="24" customFormat="1" ht="267.75" customHeight="1" x14ac:dyDescent="0.25">
      <c r="A40" s="23">
        <v>37</v>
      </c>
      <c r="B40" s="23">
        <v>2237775</v>
      </c>
      <c r="C40" s="23">
        <v>2015</v>
      </c>
      <c r="D40" s="23">
        <v>2025</v>
      </c>
      <c r="E40" s="23" t="s">
        <v>38</v>
      </c>
      <c r="F40" s="25" t="s">
        <v>92</v>
      </c>
      <c r="G40" s="25" t="s">
        <v>23</v>
      </c>
      <c r="H40" s="25" t="s">
        <v>101</v>
      </c>
      <c r="I40" s="25" t="s">
        <v>25</v>
      </c>
      <c r="J40" s="25" t="s">
        <v>26</v>
      </c>
      <c r="K40" s="25" t="s">
        <v>27</v>
      </c>
      <c r="L40" s="25">
        <v>0</v>
      </c>
      <c r="M40" s="25">
        <v>0</v>
      </c>
      <c r="N40" s="25">
        <v>0</v>
      </c>
      <c r="O40" s="25">
        <v>0</v>
      </c>
      <c r="P40" s="25"/>
      <c r="Q40" s="23" t="s">
        <v>41</v>
      </c>
      <c r="R40" s="23">
        <v>1</v>
      </c>
      <c r="S40" s="22">
        <v>5950107.7699999996</v>
      </c>
      <c r="T40" s="22">
        <v>6035735</v>
      </c>
      <c r="U40" s="26" t="s">
        <v>111</v>
      </c>
    </row>
    <row r="41" spans="1:21" s="24" customFormat="1" ht="267.75" customHeight="1" x14ac:dyDescent="0.25">
      <c r="A41" s="23">
        <v>38</v>
      </c>
      <c r="B41" s="23">
        <v>2248881</v>
      </c>
      <c r="C41" s="23" t="s">
        <v>43</v>
      </c>
      <c r="D41" s="23">
        <v>2025</v>
      </c>
      <c r="E41" s="23" t="s">
        <v>109</v>
      </c>
      <c r="F41" s="25" t="s">
        <v>23</v>
      </c>
      <c r="G41" s="25" t="s">
        <v>24</v>
      </c>
      <c r="H41" s="25" t="s">
        <v>26</v>
      </c>
      <c r="I41" s="25" t="s">
        <v>27</v>
      </c>
      <c r="J41" s="25">
        <v>0</v>
      </c>
      <c r="K41" s="25">
        <v>0</v>
      </c>
      <c r="L41" s="25">
        <v>0</v>
      </c>
      <c r="M41" s="25">
        <v>0</v>
      </c>
      <c r="N41" s="25">
        <v>0</v>
      </c>
      <c r="O41" s="25">
        <v>0</v>
      </c>
      <c r="P41" s="25"/>
      <c r="Q41" s="23" t="s">
        <v>41</v>
      </c>
      <c r="R41" s="23">
        <v>1</v>
      </c>
      <c r="S41" s="22">
        <v>4866635.3499999996</v>
      </c>
      <c r="T41" s="22">
        <v>4883900</v>
      </c>
      <c r="U41" s="26" t="s">
        <v>112</v>
      </c>
    </row>
    <row r="42" spans="1:21" s="24" customFormat="1" ht="280.5" customHeight="1" x14ac:dyDescent="0.25">
      <c r="A42" s="23">
        <v>39</v>
      </c>
      <c r="B42" s="23">
        <v>2235753</v>
      </c>
      <c r="C42" s="23" t="s">
        <v>43</v>
      </c>
      <c r="D42" s="23">
        <v>2025</v>
      </c>
      <c r="E42" s="23" t="s">
        <v>109</v>
      </c>
      <c r="F42" s="25" t="s">
        <v>23</v>
      </c>
      <c r="G42" s="25" t="s">
        <v>26</v>
      </c>
      <c r="H42" s="25" t="s">
        <v>27</v>
      </c>
      <c r="I42" s="25">
        <v>0</v>
      </c>
      <c r="J42" s="25">
        <v>0</v>
      </c>
      <c r="K42" s="25">
        <v>0</v>
      </c>
      <c r="L42" s="25">
        <v>0</v>
      </c>
      <c r="M42" s="25">
        <v>0</v>
      </c>
      <c r="N42" s="25">
        <v>0</v>
      </c>
      <c r="O42" s="25">
        <v>0</v>
      </c>
      <c r="P42" s="25"/>
      <c r="Q42" s="23" t="s">
        <v>28</v>
      </c>
      <c r="R42" s="23">
        <v>1</v>
      </c>
      <c r="S42" s="22">
        <v>1524652</v>
      </c>
      <c r="T42" s="22">
        <v>1473727</v>
      </c>
      <c r="U42" s="26" t="s">
        <v>113</v>
      </c>
    </row>
    <row r="43" spans="1:21" s="24" customFormat="1" ht="306" customHeight="1" x14ac:dyDescent="0.25">
      <c r="A43" s="23">
        <v>40</v>
      </c>
      <c r="B43" s="23">
        <v>2290879</v>
      </c>
      <c r="C43" s="23" t="s">
        <v>43</v>
      </c>
      <c r="D43" s="23">
        <v>2025</v>
      </c>
      <c r="E43" s="23" t="s">
        <v>109</v>
      </c>
      <c r="F43" s="25" t="s">
        <v>36</v>
      </c>
      <c r="G43" s="25" t="s">
        <v>49</v>
      </c>
      <c r="H43" s="25" t="s">
        <v>32</v>
      </c>
      <c r="I43" s="25" t="s">
        <v>33</v>
      </c>
      <c r="J43" s="25" t="s">
        <v>27</v>
      </c>
      <c r="K43" s="25">
        <v>0</v>
      </c>
      <c r="L43" s="25">
        <v>0</v>
      </c>
      <c r="M43" s="25">
        <v>0</v>
      </c>
      <c r="N43" s="25">
        <v>0</v>
      </c>
      <c r="O43" s="25">
        <v>0</v>
      </c>
      <c r="P43" s="25"/>
      <c r="Q43" s="23" t="s">
        <v>28</v>
      </c>
      <c r="R43" s="23">
        <v>5</v>
      </c>
      <c r="S43" s="22">
        <v>7362189.1799999997</v>
      </c>
      <c r="T43" s="22">
        <v>7500448</v>
      </c>
      <c r="U43" s="26" t="s">
        <v>114</v>
      </c>
    </row>
    <row r="44" spans="1:21" s="24" customFormat="1" ht="178.5" customHeight="1" x14ac:dyDescent="0.25">
      <c r="A44" s="23">
        <v>41</v>
      </c>
      <c r="B44" s="23">
        <v>2197751</v>
      </c>
      <c r="C44" s="23">
        <v>2015</v>
      </c>
      <c r="D44" s="23">
        <v>2025</v>
      </c>
      <c r="E44" s="23" t="s">
        <v>38</v>
      </c>
      <c r="F44" s="25" t="s">
        <v>22</v>
      </c>
      <c r="G44" s="25" t="s">
        <v>94</v>
      </c>
      <c r="H44" s="25" t="s">
        <v>36</v>
      </c>
      <c r="I44" s="25" t="s">
        <v>23</v>
      </c>
      <c r="J44" s="25" t="s">
        <v>24</v>
      </c>
      <c r="K44" s="25" t="s">
        <v>39</v>
      </c>
      <c r="L44" s="25" t="s">
        <v>32</v>
      </c>
      <c r="M44" s="25" t="s">
        <v>33</v>
      </c>
      <c r="N44" s="25" t="s">
        <v>27</v>
      </c>
      <c r="O44" s="25">
        <v>0</v>
      </c>
      <c r="P44" s="25"/>
      <c r="Q44" s="23" t="s">
        <v>28</v>
      </c>
      <c r="R44" s="23">
        <v>1</v>
      </c>
      <c r="S44" s="22">
        <v>23157683.52</v>
      </c>
      <c r="T44" s="22">
        <v>19892655</v>
      </c>
      <c r="U44" s="26" t="s">
        <v>115</v>
      </c>
    </row>
    <row r="45" spans="1:21" s="24" customFormat="1" ht="89.25" customHeight="1" x14ac:dyDescent="0.25">
      <c r="A45" s="23">
        <v>42</v>
      </c>
      <c r="B45" s="23">
        <v>2225557</v>
      </c>
      <c r="C45" s="23">
        <v>2015</v>
      </c>
      <c r="D45" s="23">
        <v>2025</v>
      </c>
      <c r="E45" s="23" t="s">
        <v>38</v>
      </c>
      <c r="F45" s="25" t="s">
        <v>92</v>
      </c>
      <c r="G45" s="25" t="s">
        <v>23</v>
      </c>
      <c r="H45" s="25" t="s">
        <v>26</v>
      </c>
      <c r="I45" s="25" t="s">
        <v>27</v>
      </c>
      <c r="J45" s="25">
        <v>0</v>
      </c>
      <c r="K45" s="25">
        <v>0</v>
      </c>
      <c r="L45" s="25">
        <v>0</v>
      </c>
      <c r="M45" s="25">
        <v>0</v>
      </c>
      <c r="N45" s="25">
        <v>0</v>
      </c>
      <c r="O45" s="25">
        <v>0</v>
      </c>
      <c r="P45" s="25"/>
      <c r="Q45" s="23" t="s">
        <v>28</v>
      </c>
      <c r="R45" s="23">
        <v>3</v>
      </c>
      <c r="S45" s="22">
        <v>5016592</v>
      </c>
      <c r="T45" s="22">
        <v>5170729</v>
      </c>
      <c r="U45" s="26" t="s">
        <v>116</v>
      </c>
    </row>
    <row r="46" spans="1:21" s="24" customFormat="1" ht="318.75" customHeight="1" x14ac:dyDescent="0.25">
      <c r="A46" s="23">
        <v>43</v>
      </c>
      <c r="B46" s="23">
        <v>2237779</v>
      </c>
      <c r="C46" s="23">
        <v>2017</v>
      </c>
      <c r="D46" s="23">
        <v>2025</v>
      </c>
      <c r="E46" s="23" t="s">
        <v>109</v>
      </c>
      <c r="F46" s="25" t="s">
        <v>23</v>
      </c>
      <c r="G46" s="25" t="s">
        <v>26</v>
      </c>
      <c r="H46" s="25" t="s">
        <v>27</v>
      </c>
      <c r="I46" s="25">
        <v>0</v>
      </c>
      <c r="J46" s="25">
        <v>0</v>
      </c>
      <c r="K46" s="25">
        <v>0</v>
      </c>
      <c r="L46" s="25">
        <v>0</v>
      </c>
      <c r="M46" s="25">
        <v>0</v>
      </c>
      <c r="N46" s="25">
        <v>0</v>
      </c>
      <c r="O46" s="25">
        <v>0</v>
      </c>
      <c r="P46" s="25"/>
      <c r="Q46" s="23" t="s">
        <v>28</v>
      </c>
      <c r="R46" s="23">
        <v>1</v>
      </c>
      <c r="S46" s="22">
        <v>4544657</v>
      </c>
      <c r="T46" s="22">
        <v>4562185</v>
      </c>
      <c r="U46" s="26" t="s">
        <v>117</v>
      </c>
    </row>
    <row r="47" spans="1:21" s="24" customFormat="1" ht="409.5" customHeight="1" x14ac:dyDescent="0.25">
      <c r="A47" s="23">
        <v>44</v>
      </c>
      <c r="B47" s="23">
        <v>2245480</v>
      </c>
      <c r="C47" s="23" t="s">
        <v>43</v>
      </c>
      <c r="D47" s="23">
        <v>2025</v>
      </c>
      <c r="E47" s="23" t="s">
        <v>44</v>
      </c>
      <c r="F47" s="25" t="s">
        <v>23</v>
      </c>
      <c r="G47" s="25" t="s">
        <v>24</v>
      </c>
      <c r="H47" s="25" t="s">
        <v>26</v>
      </c>
      <c r="I47" s="25" t="s">
        <v>27</v>
      </c>
      <c r="J47" s="25">
        <v>0</v>
      </c>
      <c r="K47" s="25">
        <v>0</v>
      </c>
      <c r="L47" s="25">
        <v>0</v>
      </c>
      <c r="M47" s="25">
        <v>0</v>
      </c>
      <c r="N47" s="25">
        <v>0</v>
      </c>
      <c r="O47" s="25">
        <v>0</v>
      </c>
      <c r="P47" s="25"/>
      <c r="Q47" s="23" t="s">
        <v>28</v>
      </c>
      <c r="R47" s="23">
        <v>3</v>
      </c>
      <c r="S47" s="22">
        <v>7708804</v>
      </c>
      <c r="T47" s="22">
        <v>7749148</v>
      </c>
      <c r="U47" s="26" t="s">
        <v>118</v>
      </c>
    </row>
    <row r="48" spans="1:21" s="24" customFormat="1" ht="127.5" customHeight="1" x14ac:dyDescent="0.25">
      <c r="A48" s="23">
        <v>45</v>
      </c>
      <c r="B48" s="23">
        <v>2248200</v>
      </c>
      <c r="C48" s="23" t="s">
        <v>43</v>
      </c>
      <c r="D48" s="23">
        <v>2025</v>
      </c>
      <c r="E48" s="23" t="s">
        <v>44</v>
      </c>
      <c r="F48" s="25" t="s">
        <v>60</v>
      </c>
      <c r="G48" s="25" t="s">
        <v>32</v>
      </c>
      <c r="H48" s="25" t="s">
        <v>33</v>
      </c>
      <c r="I48" s="25" t="s">
        <v>27</v>
      </c>
      <c r="J48" s="25">
        <v>0</v>
      </c>
      <c r="K48" s="25">
        <v>0</v>
      </c>
      <c r="L48" s="25">
        <v>0</v>
      </c>
      <c r="M48" s="25">
        <v>0</v>
      </c>
      <c r="N48" s="25">
        <v>0</v>
      </c>
      <c r="O48" s="25">
        <v>0</v>
      </c>
      <c r="P48" s="25"/>
      <c r="Q48" s="23" t="s">
        <v>41</v>
      </c>
      <c r="R48" s="23">
        <v>3</v>
      </c>
      <c r="S48" s="22">
        <v>8515112.5</v>
      </c>
      <c r="T48" s="22">
        <v>8495996</v>
      </c>
      <c r="U48" s="26" t="s">
        <v>119</v>
      </c>
    </row>
    <row r="49" spans="1:21" s="24" customFormat="1" ht="369.75" customHeight="1" x14ac:dyDescent="0.25">
      <c r="A49" s="23">
        <v>46</v>
      </c>
      <c r="B49" s="23">
        <v>2234713</v>
      </c>
      <c r="C49" s="23">
        <v>2017</v>
      </c>
      <c r="D49" s="23">
        <v>2025</v>
      </c>
      <c r="E49" s="23" t="s">
        <v>44</v>
      </c>
      <c r="F49" s="25" t="s">
        <v>23</v>
      </c>
      <c r="G49" s="25" t="s">
        <v>24</v>
      </c>
      <c r="H49" s="25" t="s">
        <v>32</v>
      </c>
      <c r="I49" s="25" t="s">
        <v>33</v>
      </c>
      <c r="J49" s="25" t="s">
        <v>27</v>
      </c>
      <c r="K49" s="25">
        <v>0</v>
      </c>
      <c r="L49" s="25">
        <v>0</v>
      </c>
      <c r="M49" s="25">
        <v>0</v>
      </c>
      <c r="N49" s="25">
        <v>0</v>
      </c>
      <c r="O49" s="25">
        <v>0</v>
      </c>
      <c r="P49" s="25"/>
      <c r="Q49" s="23" t="s">
        <v>28</v>
      </c>
      <c r="R49" s="23">
        <v>10</v>
      </c>
      <c r="S49" s="22">
        <v>14366782.76</v>
      </c>
      <c r="T49" s="22">
        <v>15908297</v>
      </c>
      <c r="U49" s="26" t="s">
        <v>120</v>
      </c>
    </row>
    <row r="50" spans="1:21" s="24" customFormat="1" ht="409.5" customHeight="1" x14ac:dyDescent="0.25">
      <c r="A50" s="23">
        <v>47</v>
      </c>
      <c r="B50" s="23">
        <v>2243181</v>
      </c>
      <c r="C50" s="23">
        <v>2017</v>
      </c>
      <c r="D50" s="23">
        <v>2025</v>
      </c>
      <c r="E50" s="23" t="s">
        <v>44</v>
      </c>
      <c r="F50" s="25" t="s">
        <v>23</v>
      </c>
      <c r="G50" s="25" t="s">
        <v>24</v>
      </c>
      <c r="H50" s="25" t="s">
        <v>64</v>
      </c>
      <c r="I50" s="25" t="s">
        <v>65</v>
      </c>
      <c r="J50" s="25" t="s">
        <v>25</v>
      </c>
      <c r="K50" s="25" t="s">
        <v>86</v>
      </c>
      <c r="L50" s="25" t="s">
        <v>26</v>
      </c>
      <c r="M50" s="25" t="s">
        <v>27</v>
      </c>
      <c r="N50" s="25">
        <v>0</v>
      </c>
      <c r="O50" s="25">
        <v>0</v>
      </c>
      <c r="P50" s="25"/>
      <c r="Q50" s="23" t="s">
        <v>67</v>
      </c>
      <c r="R50" s="23">
        <v>1</v>
      </c>
      <c r="S50" s="22">
        <v>10237078.439999999</v>
      </c>
      <c r="T50" s="22">
        <v>17858312</v>
      </c>
      <c r="U50" s="26" t="s">
        <v>121</v>
      </c>
    </row>
    <row r="51" spans="1:21" s="24" customFormat="1" ht="409.5" customHeight="1" x14ac:dyDescent="0.25">
      <c r="A51" s="23">
        <v>48</v>
      </c>
      <c r="B51" s="23">
        <v>2305429</v>
      </c>
      <c r="C51" s="23" t="s">
        <v>43</v>
      </c>
      <c r="D51" s="23">
        <v>2025</v>
      </c>
      <c r="E51" s="23" t="s">
        <v>44</v>
      </c>
      <c r="F51" s="25" t="s">
        <v>49</v>
      </c>
      <c r="G51" s="25" t="s">
        <v>24</v>
      </c>
      <c r="H51" s="25" t="s">
        <v>25</v>
      </c>
      <c r="I51" s="25" t="s">
        <v>26</v>
      </c>
      <c r="J51" s="25" t="s">
        <v>33</v>
      </c>
      <c r="K51" s="25" t="s">
        <v>27</v>
      </c>
      <c r="L51" s="25">
        <v>0</v>
      </c>
      <c r="M51" s="25">
        <v>0</v>
      </c>
      <c r="N51" s="25">
        <v>0</v>
      </c>
      <c r="O51" s="25">
        <v>0</v>
      </c>
      <c r="P51" s="25"/>
      <c r="Q51" s="23" t="s">
        <v>56</v>
      </c>
      <c r="R51" s="23">
        <v>1</v>
      </c>
      <c r="S51" s="22">
        <v>7207253.2699999996</v>
      </c>
      <c r="T51" s="22">
        <v>7125033</v>
      </c>
      <c r="U51" s="26" t="s">
        <v>122</v>
      </c>
    </row>
    <row r="52" spans="1:21" s="24" customFormat="1" ht="229.5" customHeight="1" x14ac:dyDescent="0.25">
      <c r="A52" s="23">
        <v>49</v>
      </c>
      <c r="B52" s="23">
        <v>2306093</v>
      </c>
      <c r="C52" s="23" t="s">
        <v>43</v>
      </c>
      <c r="D52" s="23">
        <v>2025</v>
      </c>
      <c r="E52" s="23" t="s">
        <v>44</v>
      </c>
      <c r="F52" s="25" t="s">
        <v>23</v>
      </c>
      <c r="G52" s="25" t="s">
        <v>24</v>
      </c>
      <c r="H52" s="25" t="s">
        <v>32</v>
      </c>
      <c r="I52" s="25" t="s">
        <v>26</v>
      </c>
      <c r="J52" s="25" t="s">
        <v>33</v>
      </c>
      <c r="K52" s="25" t="s">
        <v>27</v>
      </c>
      <c r="L52" s="25">
        <v>0</v>
      </c>
      <c r="M52" s="25">
        <v>0</v>
      </c>
      <c r="N52" s="25">
        <v>0</v>
      </c>
      <c r="O52" s="25">
        <v>0</v>
      </c>
      <c r="P52" s="25"/>
      <c r="Q52" s="23" t="s">
        <v>28</v>
      </c>
      <c r="R52" s="23">
        <v>1</v>
      </c>
      <c r="S52" s="22">
        <v>6209478.8200000003</v>
      </c>
      <c r="T52" s="22">
        <v>5792129</v>
      </c>
      <c r="U52" s="26" t="s">
        <v>123</v>
      </c>
    </row>
    <row r="53" spans="1:21" s="24" customFormat="1" ht="409.5" customHeight="1" x14ac:dyDescent="0.25">
      <c r="A53" s="23">
        <v>50</v>
      </c>
      <c r="B53" s="23">
        <v>2263051</v>
      </c>
      <c r="C53" s="23" t="s">
        <v>43</v>
      </c>
      <c r="D53" s="23">
        <v>2025</v>
      </c>
      <c r="E53" s="23" t="s">
        <v>44</v>
      </c>
      <c r="F53" s="25" t="s">
        <v>23</v>
      </c>
      <c r="G53" s="25" t="s">
        <v>24</v>
      </c>
      <c r="H53" s="25" t="s">
        <v>32</v>
      </c>
      <c r="I53" s="25" t="s">
        <v>33</v>
      </c>
      <c r="J53" s="25" t="s">
        <v>27</v>
      </c>
      <c r="K53" s="25">
        <v>0</v>
      </c>
      <c r="L53" s="25">
        <v>0</v>
      </c>
      <c r="M53" s="25">
        <v>0</v>
      </c>
      <c r="N53" s="25">
        <v>0</v>
      </c>
      <c r="O53" s="25">
        <v>0</v>
      </c>
      <c r="P53" s="25"/>
      <c r="Q53" s="23" t="s">
        <v>81</v>
      </c>
      <c r="R53" s="23">
        <v>1</v>
      </c>
      <c r="S53" s="22">
        <v>9697029.0099999998</v>
      </c>
      <c r="T53" s="22">
        <v>13698314</v>
      </c>
      <c r="U53" s="26" t="s">
        <v>124</v>
      </c>
    </row>
    <row r="54" spans="1:21" s="24" customFormat="1" ht="267.75" customHeight="1" x14ac:dyDescent="0.25">
      <c r="A54" s="23">
        <v>51</v>
      </c>
      <c r="B54" s="23">
        <v>2320276</v>
      </c>
      <c r="C54" s="23" t="s">
        <v>43</v>
      </c>
      <c r="D54" s="23">
        <v>2025</v>
      </c>
      <c r="E54" s="23" t="s">
        <v>44</v>
      </c>
      <c r="F54" s="25" t="s">
        <v>49</v>
      </c>
      <c r="G54" s="25" t="s">
        <v>24</v>
      </c>
      <c r="H54" s="25" t="s">
        <v>26</v>
      </c>
      <c r="I54" s="25" t="s">
        <v>27</v>
      </c>
      <c r="J54" s="25">
        <v>0</v>
      </c>
      <c r="K54" s="25">
        <v>0</v>
      </c>
      <c r="L54" s="25">
        <v>0</v>
      </c>
      <c r="M54" s="25">
        <v>0</v>
      </c>
      <c r="N54" s="25">
        <v>0</v>
      </c>
      <c r="O54" s="25">
        <v>0</v>
      </c>
      <c r="P54" s="25"/>
      <c r="Q54" s="23" t="s">
        <v>28</v>
      </c>
      <c r="R54" s="23">
        <v>1</v>
      </c>
      <c r="S54" s="22">
        <v>2325677.2999999998</v>
      </c>
      <c r="T54" s="22">
        <v>2365600</v>
      </c>
      <c r="U54" s="26" t="s">
        <v>125</v>
      </c>
    </row>
    <row r="55" spans="1:21" s="24" customFormat="1" ht="204" customHeight="1" x14ac:dyDescent="0.25">
      <c r="A55" s="23">
        <v>52</v>
      </c>
      <c r="B55" s="23">
        <v>2272293</v>
      </c>
      <c r="C55" s="23" t="s">
        <v>43</v>
      </c>
      <c r="D55" s="23">
        <v>2025</v>
      </c>
      <c r="E55" s="23" t="s">
        <v>44</v>
      </c>
      <c r="F55" s="25" t="s">
        <v>23</v>
      </c>
      <c r="G55" s="25" t="s">
        <v>24</v>
      </c>
      <c r="H55" s="25" t="s">
        <v>26</v>
      </c>
      <c r="I55" s="25" t="s">
        <v>27</v>
      </c>
      <c r="J55" s="25">
        <v>0</v>
      </c>
      <c r="K55" s="25">
        <v>0</v>
      </c>
      <c r="L55" s="25">
        <v>0</v>
      </c>
      <c r="M55" s="25">
        <v>0</v>
      </c>
      <c r="N55" s="25">
        <v>0</v>
      </c>
      <c r="O55" s="25">
        <v>0</v>
      </c>
      <c r="P55" s="25"/>
      <c r="Q55" s="23" t="s">
        <v>28</v>
      </c>
      <c r="R55" s="23">
        <v>1</v>
      </c>
      <c r="S55" s="22">
        <v>5275439.0999999996</v>
      </c>
      <c r="T55" s="22">
        <v>5281441</v>
      </c>
      <c r="U55" s="26" t="s">
        <v>126</v>
      </c>
    </row>
    <row r="56" spans="1:21" s="24" customFormat="1" ht="409.5" customHeight="1" x14ac:dyDescent="0.25">
      <c r="A56" s="23">
        <v>53</v>
      </c>
      <c r="B56" s="23">
        <v>2290089</v>
      </c>
      <c r="C56" s="23" t="s">
        <v>43</v>
      </c>
      <c r="D56" s="23">
        <v>2025</v>
      </c>
      <c r="E56" s="23" t="s">
        <v>44</v>
      </c>
      <c r="F56" s="25" t="s">
        <v>23</v>
      </c>
      <c r="G56" s="25" t="s">
        <v>26</v>
      </c>
      <c r="H56" s="25" t="s">
        <v>27</v>
      </c>
      <c r="I56" s="25">
        <v>0</v>
      </c>
      <c r="J56" s="25">
        <v>0</v>
      </c>
      <c r="K56" s="25">
        <v>0</v>
      </c>
      <c r="L56" s="25">
        <v>0</v>
      </c>
      <c r="M56" s="25">
        <v>0</v>
      </c>
      <c r="N56" s="25">
        <v>0</v>
      </c>
      <c r="O56" s="25">
        <v>0</v>
      </c>
      <c r="P56" s="25"/>
      <c r="Q56" s="23" t="s">
        <v>28</v>
      </c>
      <c r="R56" s="23">
        <v>1</v>
      </c>
      <c r="S56" s="22">
        <v>2083730</v>
      </c>
      <c r="T56" s="22">
        <v>2070733</v>
      </c>
      <c r="U56" s="26" t="s">
        <v>127</v>
      </c>
    </row>
    <row r="57" spans="1:21" s="24" customFormat="1" ht="267.75" customHeight="1" x14ac:dyDescent="0.25">
      <c r="A57" s="23">
        <v>54</v>
      </c>
      <c r="B57" s="23">
        <v>2285203</v>
      </c>
      <c r="C57" s="23" t="s">
        <v>43</v>
      </c>
      <c r="D57" s="23">
        <v>2025</v>
      </c>
      <c r="E57" s="23" t="s">
        <v>44</v>
      </c>
      <c r="F57" s="25" t="s">
        <v>23</v>
      </c>
      <c r="G57" s="25" t="s">
        <v>24</v>
      </c>
      <c r="H57" s="25" t="s">
        <v>39</v>
      </c>
      <c r="I57" s="25" t="s">
        <v>25</v>
      </c>
      <c r="J57" s="25" t="s">
        <v>26</v>
      </c>
      <c r="K57" s="25" t="s">
        <v>27</v>
      </c>
      <c r="L57" s="25">
        <v>0</v>
      </c>
      <c r="M57" s="25">
        <v>0</v>
      </c>
      <c r="N57" s="25">
        <v>0</v>
      </c>
      <c r="O57" s="25">
        <v>0</v>
      </c>
      <c r="P57" s="25"/>
      <c r="Q57" s="23" t="s">
        <v>28</v>
      </c>
      <c r="R57" s="23">
        <v>1</v>
      </c>
      <c r="S57" s="22">
        <v>2195205.4300000002</v>
      </c>
      <c r="T57" s="22">
        <v>3913580</v>
      </c>
      <c r="U57" s="26" t="s">
        <v>128</v>
      </c>
    </row>
    <row r="58" spans="1:21" s="24" customFormat="1" ht="344.25" customHeight="1" x14ac:dyDescent="0.25">
      <c r="A58" s="23">
        <v>55</v>
      </c>
      <c r="B58" s="23">
        <v>2336079</v>
      </c>
      <c r="C58" s="23">
        <v>2017</v>
      </c>
      <c r="D58" s="23">
        <v>2025</v>
      </c>
      <c r="E58" s="23" t="s">
        <v>44</v>
      </c>
      <c r="F58" s="25" t="s">
        <v>23</v>
      </c>
      <c r="G58" s="25" t="s">
        <v>24</v>
      </c>
      <c r="H58" s="25" t="s">
        <v>64</v>
      </c>
      <c r="I58" s="25" t="s">
        <v>65</v>
      </c>
      <c r="J58" s="25" t="s">
        <v>25</v>
      </c>
      <c r="K58" s="25" t="s">
        <v>32</v>
      </c>
      <c r="L58" s="25" t="s">
        <v>26</v>
      </c>
      <c r="M58" s="25" t="s">
        <v>33</v>
      </c>
      <c r="N58" s="25" t="s">
        <v>27</v>
      </c>
      <c r="O58" s="25">
        <v>0</v>
      </c>
      <c r="P58" s="25"/>
      <c r="Q58" s="23" t="s">
        <v>28</v>
      </c>
      <c r="R58" s="23">
        <v>1</v>
      </c>
      <c r="S58" s="22">
        <v>16470130.449999999</v>
      </c>
      <c r="T58" s="22">
        <v>26592605</v>
      </c>
      <c r="U58" s="26" t="s">
        <v>129</v>
      </c>
    </row>
    <row r="59" spans="1:21" s="24" customFormat="1" ht="280.5" customHeight="1" x14ac:dyDescent="0.25">
      <c r="A59" s="23">
        <v>56</v>
      </c>
      <c r="B59" s="23">
        <v>2102471</v>
      </c>
      <c r="C59" s="23">
        <v>2017</v>
      </c>
      <c r="D59" s="23">
        <v>2025</v>
      </c>
      <c r="E59" s="23" t="s">
        <v>44</v>
      </c>
      <c r="F59" s="25" t="s">
        <v>49</v>
      </c>
      <c r="G59" s="25" t="s">
        <v>24</v>
      </c>
      <c r="H59" s="25" t="s">
        <v>64</v>
      </c>
      <c r="I59" s="25" t="s">
        <v>25</v>
      </c>
      <c r="J59" s="25" t="s">
        <v>26</v>
      </c>
      <c r="K59" s="25" t="s">
        <v>27</v>
      </c>
      <c r="L59" s="25">
        <v>0</v>
      </c>
      <c r="M59" s="25">
        <v>0</v>
      </c>
      <c r="N59" s="25">
        <v>0</v>
      </c>
      <c r="O59" s="25">
        <v>0</v>
      </c>
      <c r="P59" s="25"/>
      <c r="Q59" s="23" t="s">
        <v>41</v>
      </c>
      <c r="R59" s="23">
        <v>2</v>
      </c>
      <c r="S59" s="22">
        <v>1965166.17</v>
      </c>
      <c r="T59" s="22">
        <v>4232777</v>
      </c>
      <c r="U59" s="26" t="s">
        <v>130</v>
      </c>
    </row>
    <row r="60" spans="1:21" s="24" customFormat="1" ht="395.25" customHeight="1" x14ac:dyDescent="0.25">
      <c r="A60" s="23">
        <v>57</v>
      </c>
      <c r="B60" s="23">
        <v>2301317</v>
      </c>
      <c r="C60" s="23" t="s">
        <v>43</v>
      </c>
      <c r="D60" s="23">
        <v>2025</v>
      </c>
      <c r="E60" s="23" t="s">
        <v>44</v>
      </c>
      <c r="F60" s="25" t="s">
        <v>23</v>
      </c>
      <c r="G60" s="25" t="s">
        <v>27</v>
      </c>
      <c r="H60" s="25">
        <v>0</v>
      </c>
      <c r="I60" s="25">
        <v>0</v>
      </c>
      <c r="J60" s="25">
        <v>0</v>
      </c>
      <c r="K60" s="25">
        <v>0</v>
      </c>
      <c r="L60" s="25">
        <v>0</v>
      </c>
      <c r="M60" s="25">
        <v>0</v>
      </c>
      <c r="N60" s="25">
        <v>0</v>
      </c>
      <c r="O60" s="25">
        <v>0</v>
      </c>
      <c r="P60" s="25"/>
      <c r="Q60" s="23" t="s">
        <v>28</v>
      </c>
      <c r="R60" s="23">
        <v>1</v>
      </c>
      <c r="S60" s="22">
        <v>14190334</v>
      </c>
      <c r="T60" s="22">
        <v>14613159</v>
      </c>
      <c r="U60" s="26" t="s">
        <v>131</v>
      </c>
    </row>
    <row r="61" spans="1:21" s="24" customFormat="1" ht="306" customHeight="1" x14ac:dyDescent="0.25">
      <c r="A61" s="23">
        <v>58</v>
      </c>
      <c r="B61" s="23">
        <v>2248234</v>
      </c>
      <c r="C61" s="23" t="s">
        <v>43</v>
      </c>
      <c r="D61" s="23">
        <v>2025</v>
      </c>
      <c r="E61" s="23" t="s">
        <v>44</v>
      </c>
      <c r="F61" s="25" t="s">
        <v>49</v>
      </c>
      <c r="G61" s="25" t="s">
        <v>24</v>
      </c>
      <c r="H61" s="25" t="s">
        <v>65</v>
      </c>
      <c r="I61" s="25" t="s">
        <v>39</v>
      </c>
      <c r="J61" s="25" t="s">
        <v>25</v>
      </c>
      <c r="K61" s="25" t="s">
        <v>26</v>
      </c>
      <c r="L61" s="25" t="s">
        <v>33</v>
      </c>
      <c r="M61" s="25" t="s">
        <v>27</v>
      </c>
      <c r="N61" s="25">
        <v>0</v>
      </c>
      <c r="O61" s="25">
        <v>0</v>
      </c>
      <c r="P61" s="25"/>
      <c r="Q61" s="23" t="s">
        <v>132</v>
      </c>
      <c r="R61" s="23">
        <v>1</v>
      </c>
      <c r="S61" s="22">
        <v>11605768.58</v>
      </c>
      <c r="T61" s="22">
        <v>16015222</v>
      </c>
      <c r="U61" s="26" t="s">
        <v>133</v>
      </c>
    </row>
    <row r="62" spans="1:21" s="24" customFormat="1" ht="204" customHeight="1" x14ac:dyDescent="0.25">
      <c r="A62" s="23">
        <v>59</v>
      </c>
      <c r="B62" s="23">
        <v>2327905</v>
      </c>
      <c r="C62" s="23" t="s">
        <v>43</v>
      </c>
      <c r="D62" s="23">
        <v>2025</v>
      </c>
      <c r="E62" s="23" t="s">
        <v>44</v>
      </c>
      <c r="F62" s="25" t="s">
        <v>134</v>
      </c>
      <c r="G62" s="25" t="s">
        <v>60</v>
      </c>
      <c r="H62" s="25" t="s">
        <v>65</v>
      </c>
      <c r="I62" s="25" t="s">
        <v>39</v>
      </c>
      <c r="J62" s="25" t="s">
        <v>25</v>
      </c>
      <c r="K62" s="25" t="s">
        <v>26</v>
      </c>
      <c r="L62" s="25" t="s">
        <v>52</v>
      </c>
      <c r="M62" s="25" t="s">
        <v>27</v>
      </c>
      <c r="N62" s="25">
        <v>0</v>
      </c>
      <c r="O62" s="25">
        <v>0</v>
      </c>
      <c r="P62" s="25"/>
      <c r="Q62" s="23" t="s">
        <v>28</v>
      </c>
      <c r="R62" s="23">
        <v>1</v>
      </c>
      <c r="S62" s="22">
        <v>15393365.140000001</v>
      </c>
      <c r="T62" s="22">
        <v>27463940</v>
      </c>
      <c r="U62" s="26" t="s">
        <v>135</v>
      </c>
    </row>
    <row r="63" spans="1:21" s="24" customFormat="1" ht="344.25" customHeight="1" x14ac:dyDescent="0.25">
      <c r="A63" s="23">
        <v>60</v>
      </c>
      <c r="B63" s="23">
        <v>2304368</v>
      </c>
      <c r="C63" s="23" t="s">
        <v>43</v>
      </c>
      <c r="D63" s="23">
        <v>2025</v>
      </c>
      <c r="E63" s="23" t="s">
        <v>44</v>
      </c>
      <c r="F63" s="25" t="s">
        <v>101</v>
      </c>
      <c r="G63" s="25" t="s">
        <v>25</v>
      </c>
      <c r="H63" s="25" t="s">
        <v>26</v>
      </c>
      <c r="I63" s="25" t="s">
        <v>27</v>
      </c>
      <c r="J63" s="25">
        <v>0</v>
      </c>
      <c r="K63" s="25">
        <v>0</v>
      </c>
      <c r="L63" s="25">
        <v>0</v>
      </c>
      <c r="M63" s="25">
        <v>0</v>
      </c>
      <c r="N63" s="25">
        <v>0</v>
      </c>
      <c r="O63" s="25">
        <v>0</v>
      </c>
      <c r="P63" s="25"/>
      <c r="Q63" s="23" t="s">
        <v>28</v>
      </c>
      <c r="R63" s="23">
        <v>1</v>
      </c>
      <c r="S63" s="22">
        <v>6798780.3200000003</v>
      </c>
      <c r="T63" s="22">
        <v>7229704</v>
      </c>
      <c r="U63" s="26" t="s">
        <v>136</v>
      </c>
    </row>
    <row r="64" spans="1:21" s="24" customFormat="1" ht="409.5" customHeight="1" x14ac:dyDescent="0.25">
      <c r="A64" s="23">
        <v>61</v>
      </c>
      <c r="B64" s="23">
        <v>2288398</v>
      </c>
      <c r="C64" s="23" t="s">
        <v>43</v>
      </c>
      <c r="D64" s="23">
        <v>2025</v>
      </c>
      <c r="E64" s="23" t="s">
        <v>44</v>
      </c>
      <c r="F64" s="25" t="s">
        <v>23</v>
      </c>
      <c r="G64" s="25" t="s">
        <v>24</v>
      </c>
      <c r="H64" s="25" t="s">
        <v>25</v>
      </c>
      <c r="I64" s="25" t="s">
        <v>32</v>
      </c>
      <c r="J64" s="25" t="s">
        <v>26</v>
      </c>
      <c r="K64" s="25" t="s">
        <v>33</v>
      </c>
      <c r="L64" s="25" t="s">
        <v>27</v>
      </c>
      <c r="M64" s="25">
        <v>0</v>
      </c>
      <c r="N64" s="25">
        <v>0</v>
      </c>
      <c r="O64" s="25">
        <v>0</v>
      </c>
      <c r="P64" s="25"/>
      <c r="Q64" s="23" t="s">
        <v>28</v>
      </c>
      <c r="R64" s="23">
        <v>1</v>
      </c>
      <c r="S64" s="22">
        <v>7580536.8899999997</v>
      </c>
      <c r="T64" s="22">
        <v>7641806</v>
      </c>
      <c r="U64" s="26" t="s">
        <v>137</v>
      </c>
    </row>
    <row r="65" spans="1:21" s="24" customFormat="1" ht="153" customHeight="1" x14ac:dyDescent="0.25">
      <c r="A65" s="23">
        <v>62</v>
      </c>
      <c r="B65" s="23">
        <v>2321182</v>
      </c>
      <c r="C65" s="23" t="s">
        <v>43</v>
      </c>
      <c r="D65" s="23">
        <v>2025</v>
      </c>
      <c r="E65" s="23" t="s">
        <v>36</v>
      </c>
      <c r="F65" s="25" t="s">
        <v>23</v>
      </c>
      <c r="G65" s="25" t="s">
        <v>24</v>
      </c>
      <c r="H65" s="25" t="s">
        <v>32</v>
      </c>
      <c r="I65" s="25" t="s">
        <v>33</v>
      </c>
      <c r="J65" s="25" t="s">
        <v>27</v>
      </c>
      <c r="K65" s="25">
        <v>0</v>
      </c>
      <c r="L65" s="25">
        <v>0</v>
      </c>
      <c r="M65" s="25">
        <v>0</v>
      </c>
      <c r="N65" s="25">
        <v>0</v>
      </c>
      <c r="O65" s="25">
        <v>0</v>
      </c>
      <c r="P65" s="25"/>
      <c r="Q65" s="23" t="s">
        <v>28</v>
      </c>
      <c r="R65" s="23">
        <v>1</v>
      </c>
      <c r="S65" s="22">
        <v>1561972.08</v>
      </c>
      <c r="T65" s="22">
        <v>1615942</v>
      </c>
      <c r="U65" s="26" t="s">
        <v>138</v>
      </c>
    </row>
    <row r="66" spans="1:21" s="24" customFormat="1" ht="409.5" customHeight="1" x14ac:dyDescent="0.25">
      <c r="A66" s="23">
        <v>63</v>
      </c>
      <c r="B66" s="23">
        <v>2251305</v>
      </c>
      <c r="C66" s="23" t="s">
        <v>43</v>
      </c>
      <c r="D66" s="23">
        <v>2025</v>
      </c>
      <c r="E66" s="23" t="s">
        <v>36</v>
      </c>
      <c r="F66" s="25" t="s">
        <v>23</v>
      </c>
      <c r="G66" s="25" t="s">
        <v>24</v>
      </c>
      <c r="H66" s="25" t="s">
        <v>64</v>
      </c>
      <c r="I66" s="25" t="s">
        <v>32</v>
      </c>
      <c r="J66" s="25" t="s">
        <v>33</v>
      </c>
      <c r="K66" s="25" t="s">
        <v>27</v>
      </c>
      <c r="L66" s="25">
        <v>0</v>
      </c>
      <c r="M66" s="25">
        <v>0</v>
      </c>
      <c r="N66" s="25">
        <v>0</v>
      </c>
      <c r="O66" s="25">
        <v>0</v>
      </c>
      <c r="P66" s="25"/>
      <c r="Q66" s="23" t="s">
        <v>28</v>
      </c>
      <c r="R66" s="23">
        <v>2</v>
      </c>
      <c r="S66" s="22">
        <v>4731181.43</v>
      </c>
      <c r="T66" s="22">
        <v>4141798</v>
      </c>
      <c r="U66" s="26" t="s">
        <v>139</v>
      </c>
    </row>
    <row r="67" spans="1:21" s="24" customFormat="1" ht="369.75" customHeight="1" x14ac:dyDescent="0.25">
      <c r="A67" s="23">
        <v>64</v>
      </c>
      <c r="B67" s="23">
        <v>2223544</v>
      </c>
      <c r="C67" s="23">
        <v>2017</v>
      </c>
      <c r="D67" s="23">
        <v>2025</v>
      </c>
      <c r="E67" s="23" t="s">
        <v>36</v>
      </c>
      <c r="F67" s="25" t="s">
        <v>23</v>
      </c>
      <c r="G67" s="25" t="s">
        <v>32</v>
      </c>
      <c r="H67" s="25" t="s">
        <v>33</v>
      </c>
      <c r="I67" s="25" t="s">
        <v>52</v>
      </c>
      <c r="J67" s="25" t="s">
        <v>27</v>
      </c>
      <c r="K67" s="25">
        <v>0</v>
      </c>
      <c r="L67" s="25">
        <v>0</v>
      </c>
      <c r="M67" s="25">
        <v>0</v>
      </c>
      <c r="N67" s="25">
        <v>0</v>
      </c>
      <c r="O67" s="25">
        <v>0</v>
      </c>
      <c r="P67" s="25"/>
      <c r="Q67" s="23" t="s">
        <v>28</v>
      </c>
      <c r="R67" s="23">
        <v>1</v>
      </c>
      <c r="S67" s="22">
        <v>6049711.4900000002</v>
      </c>
      <c r="T67" s="22">
        <v>6589225</v>
      </c>
      <c r="U67" s="26" t="s">
        <v>140</v>
      </c>
    </row>
    <row r="68" spans="1:21" s="24" customFormat="1" ht="409.5" customHeight="1" x14ac:dyDescent="0.25">
      <c r="A68" s="23">
        <v>65</v>
      </c>
      <c r="B68" s="23">
        <v>2336088</v>
      </c>
      <c r="C68" s="23" t="s">
        <v>43</v>
      </c>
      <c r="D68" s="23">
        <v>2025</v>
      </c>
      <c r="E68" s="23" t="s">
        <v>36</v>
      </c>
      <c r="F68" s="25" t="s">
        <v>134</v>
      </c>
      <c r="G68" s="25" t="s">
        <v>39</v>
      </c>
      <c r="H68" s="25" t="s">
        <v>25</v>
      </c>
      <c r="I68" s="25" t="s">
        <v>32</v>
      </c>
      <c r="J68" s="25" t="s">
        <v>26</v>
      </c>
      <c r="K68" s="25" t="s">
        <v>33</v>
      </c>
      <c r="L68" s="25" t="s">
        <v>52</v>
      </c>
      <c r="M68" s="25" t="s">
        <v>27</v>
      </c>
      <c r="N68" s="25">
        <v>0</v>
      </c>
      <c r="O68" s="25">
        <v>0</v>
      </c>
      <c r="P68" s="25"/>
      <c r="Q68" s="23" t="s">
        <v>34</v>
      </c>
      <c r="R68" s="23">
        <v>1</v>
      </c>
      <c r="S68" s="22">
        <v>5188630.25</v>
      </c>
      <c r="T68" s="22">
        <v>2662311</v>
      </c>
      <c r="U68" s="26" t="s">
        <v>141</v>
      </c>
    </row>
    <row r="69" spans="1:21" s="24" customFormat="1" ht="357" customHeight="1" x14ac:dyDescent="0.25">
      <c r="A69" s="23">
        <v>66</v>
      </c>
      <c r="B69" s="23">
        <v>2332644</v>
      </c>
      <c r="C69" s="23" t="s">
        <v>43</v>
      </c>
      <c r="D69" s="23">
        <v>2025</v>
      </c>
      <c r="E69" s="23" t="s">
        <v>36</v>
      </c>
      <c r="F69" s="25" t="s">
        <v>49</v>
      </c>
      <c r="G69" s="25" t="s">
        <v>24</v>
      </c>
      <c r="H69" s="25" t="s">
        <v>32</v>
      </c>
      <c r="I69" s="25" t="s">
        <v>33</v>
      </c>
      <c r="J69" s="25" t="s">
        <v>27</v>
      </c>
      <c r="K69" s="25">
        <v>0</v>
      </c>
      <c r="L69" s="25">
        <v>0</v>
      </c>
      <c r="M69" s="25">
        <v>0</v>
      </c>
      <c r="N69" s="25">
        <v>0</v>
      </c>
      <c r="O69" s="25">
        <v>0</v>
      </c>
      <c r="P69" s="25"/>
      <c r="Q69" s="23" t="s">
        <v>28</v>
      </c>
      <c r="R69" s="23">
        <v>1</v>
      </c>
      <c r="S69" s="22">
        <v>1165821.77</v>
      </c>
      <c r="T69" s="22">
        <v>1206914</v>
      </c>
      <c r="U69" s="26" t="s">
        <v>142</v>
      </c>
    </row>
    <row r="70" spans="1:21" s="24" customFormat="1" ht="267.75" customHeight="1" x14ac:dyDescent="0.25">
      <c r="A70" s="23">
        <v>67</v>
      </c>
      <c r="B70" s="23">
        <v>2240144</v>
      </c>
      <c r="C70" s="23">
        <v>2017</v>
      </c>
      <c r="D70" s="23">
        <v>2025</v>
      </c>
      <c r="E70" s="23" t="s">
        <v>36</v>
      </c>
      <c r="F70" s="25" t="s">
        <v>23</v>
      </c>
      <c r="G70" s="25" t="s">
        <v>32</v>
      </c>
      <c r="H70" s="25" t="s">
        <v>33</v>
      </c>
      <c r="I70" s="25" t="s">
        <v>27</v>
      </c>
      <c r="J70" s="25">
        <v>0</v>
      </c>
      <c r="K70" s="25">
        <v>0</v>
      </c>
      <c r="L70" s="25">
        <v>0</v>
      </c>
      <c r="M70" s="25">
        <v>0</v>
      </c>
      <c r="N70" s="25">
        <v>0</v>
      </c>
      <c r="O70" s="25">
        <v>0</v>
      </c>
      <c r="P70" s="25"/>
      <c r="Q70" s="23" t="s">
        <v>28</v>
      </c>
      <c r="R70" s="23">
        <v>1</v>
      </c>
      <c r="S70" s="22">
        <v>2819508.02</v>
      </c>
      <c r="T70" s="22">
        <v>2538384</v>
      </c>
      <c r="U70" s="26" t="s">
        <v>143</v>
      </c>
    </row>
    <row r="71" spans="1:21" s="24" customFormat="1" ht="409.5" customHeight="1" x14ac:dyDescent="0.25">
      <c r="A71" s="23">
        <v>68</v>
      </c>
      <c r="B71" s="23">
        <v>2319424</v>
      </c>
      <c r="C71" s="23">
        <v>2017</v>
      </c>
      <c r="D71" s="23">
        <v>2025</v>
      </c>
      <c r="E71" s="23" t="s">
        <v>36</v>
      </c>
      <c r="F71" s="25" t="s">
        <v>78</v>
      </c>
      <c r="G71" s="25" t="s">
        <v>26</v>
      </c>
      <c r="H71" s="25" t="s">
        <v>72</v>
      </c>
      <c r="I71" s="25" t="s">
        <v>33</v>
      </c>
      <c r="J71" s="25" t="s">
        <v>52</v>
      </c>
      <c r="K71" s="25" t="s">
        <v>27</v>
      </c>
      <c r="L71" s="25">
        <v>0</v>
      </c>
      <c r="M71" s="25">
        <v>0</v>
      </c>
      <c r="N71" s="25">
        <v>0</v>
      </c>
      <c r="O71" s="25">
        <v>0</v>
      </c>
      <c r="P71" s="25"/>
      <c r="Q71" s="23" t="s">
        <v>28</v>
      </c>
      <c r="R71" s="23">
        <v>3</v>
      </c>
      <c r="S71" s="22">
        <v>21235719.460000001</v>
      </c>
      <c r="T71" s="22">
        <v>21709893</v>
      </c>
      <c r="U71" s="26" t="s">
        <v>144</v>
      </c>
    </row>
    <row r="72" spans="1:21" s="24" customFormat="1" ht="255" customHeight="1" x14ac:dyDescent="0.25">
      <c r="A72" s="23">
        <v>69</v>
      </c>
      <c r="B72" s="23">
        <v>2224952</v>
      </c>
      <c r="C72" s="23">
        <v>2017</v>
      </c>
      <c r="D72" s="23">
        <v>2025</v>
      </c>
      <c r="E72" s="23" t="s">
        <v>36</v>
      </c>
      <c r="F72" s="25" t="s">
        <v>23</v>
      </c>
      <c r="G72" s="25" t="s">
        <v>26</v>
      </c>
      <c r="H72" s="25" t="s">
        <v>33</v>
      </c>
      <c r="I72" s="25" t="s">
        <v>27</v>
      </c>
      <c r="J72" s="25">
        <v>0</v>
      </c>
      <c r="K72" s="25">
        <v>0</v>
      </c>
      <c r="L72" s="25">
        <v>0</v>
      </c>
      <c r="M72" s="25">
        <v>0</v>
      </c>
      <c r="N72" s="25">
        <v>0</v>
      </c>
      <c r="O72" s="25">
        <v>0</v>
      </c>
      <c r="P72" s="25"/>
      <c r="Q72" s="23" t="s">
        <v>28</v>
      </c>
      <c r="R72" s="23">
        <v>1</v>
      </c>
      <c r="S72" s="22">
        <v>5882300</v>
      </c>
      <c r="T72" s="22">
        <v>5901521</v>
      </c>
      <c r="U72" s="26" t="s">
        <v>145</v>
      </c>
    </row>
    <row r="73" spans="1:21" s="24" customFormat="1" ht="102" customHeight="1" x14ac:dyDescent="0.25">
      <c r="A73" s="23">
        <v>70</v>
      </c>
      <c r="B73" s="23">
        <v>2195384</v>
      </c>
      <c r="C73" s="23">
        <v>2017</v>
      </c>
      <c r="D73" s="23">
        <v>2025</v>
      </c>
      <c r="E73" s="23" t="s">
        <v>44</v>
      </c>
      <c r="F73" s="25" t="s">
        <v>23</v>
      </c>
      <c r="G73" s="25" t="s">
        <v>26</v>
      </c>
      <c r="H73" s="25" t="s">
        <v>27</v>
      </c>
      <c r="I73" s="25">
        <v>0</v>
      </c>
      <c r="J73" s="25">
        <v>0</v>
      </c>
      <c r="K73" s="25">
        <v>0</v>
      </c>
      <c r="L73" s="25">
        <v>0</v>
      </c>
      <c r="M73" s="25">
        <v>0</v>
      </c>
      <c r="N73" s="25">
        <v>0</v>
      </c>
      <c r="O73" s="25">
        <v>0</v>
      </c>
      <c r="P73" s="25"/>
      <c r="Q73" s="23" t="s">
        <v>28</v>
      </c>
      <c r="R73" s="23">
        <v>1</v>
      </c>
      <c r="S73" s="22">
        <v>1894217.09</v>
      </c>
      <c r="T73" s="22">
        <v>1854137</v>
      </c>
      <c r="U73" s="26" t="s">
        <v>146</v>
      </c>
    </row>
    <row r="74" spans="1:21" s="24" customFormat="1" ht="76.5" customHeight="1" x14ac:dyDescent="0.25">
      <c r="A74" s="23">
        <v>71</v>
      </c>
      <c r="B74" s="23">
        <v>2333944</v>
      </c>
      <c r="C74" s="23" t="s">
        <v>43</v>
      </c>
      <c r="D74" s="23">
        <v>2025</v>
      </c>
      <c r="E74" s="23" t="s">
        <v>44</v>
      </c>
      <c r="F74" s="25" t="s">
        <v>23</v>
      </c>
      <c r="G74" s="25" t="s">
        <v>24</v>
      </c>
      <c r="H74" s="25" t="s">
        <v>25</v>
      </c>
      <c r="I74" s="25" t="s">
        <v>26</v>
      </c>
      <c r="J74" s="25" t="s">
        <v>27</v>
      </c>
      <c r="K74" s="25">
        <v>0</v>
      </c>
      <c r="L74" s="25">
        <v>0</v>
      </c>
      <c r="M74" s="25">
        <v>0</v>
      </c>
      <c r="N74" s="25">
        <v>0</v>
      </c>
      <c r="O74" s="25">
        <v>0</v>
      </c>
      <c r="P74" s="25"/>
      <c r="Q74" s="23" t="s">
        <v>28</v>
      </c>
      <c r="R74" s="23">
        <v>1</v>
      </c>
      <c r="S74" s="22">
        <v>3362682</v>
      </c>
      <c r="T74" s="22">
        <v>3364302</v>
      </c>
      <c r="U74" s="26" t="s">
        <v>147</v>
      </c>
    </row>
    <row r="75" spans="1:21" s="24" customFormat="1" ht="280.5" customHeight="1" x14ac:dyDescent="0.25">
      <c r="A75" s="23">
        <v>72</v>
      </c>
      <c r="B75" s="23">
        <v>2259238</v>
      </c>
      <c r="C75" s="23" t="s">
        <v>43</v>
      </c>
      <c r="D75" s="23">
        <v>2025</v>
      </c>
      <c r="E75" s="23" t="s">
        <v>44</v>
      </c>
      <c r="F75" s="25" t="s">
        <v>23</v>
      </c>
      <c r="G75" s="25" t="s">
        <v>25</v>
      </c>
      <c r="H75" s="25" t="s">
        <v>26</v>
      </c>
      <c r="I75" s="25" t="s">
        <v>27</v>
      </c>
      <c r="J75" s="25">
        <v>0</v>
      </c>
      <c r="K75" s="25">
        <v>0</v>
      </c>
      <c r="L75" s="25">
        <v>0</v>
      </c>
      <c r="M75" s="25">
        <v>0</v>
      </c>
      <c r="N75" s="25">
        <v>0</v>
      </c>
      <c r="O75" s="25">
        <v>0</v>
      </c>
      <c r="P75" s="25"/>
      <c r="Q75" s="23" t="s">
        <v>56</v>
      </c>
      <c r="R75" s="23">
        <v>1</v>
      </c>
      <c r="S75" s="22">
        <v>3911008.37</v>
      </c>
      <c r="T75" s="22">
        <v>5119257</v>
      </c>
      <c r="U75" s="26" t="s">
        <v>148</v>
      </c>
    </row>
    <row r="76" spans="1:21" s="24" customFormat="1" ht="357" customHeight="1" x14ac:dyDescent="0.25">
      <c r="A76" s="23">
        <v>73</v>
      </c>
      <c r="B76" s="23">
        <v>2162613</v>
      </c>
      <c r="C76" s="23">
        <v>2017</v>
      </c>
      <c r="D76" s="23">
        <v>2025</v>
      </c>
      <c r="E76" s="23" t="s">
        <v>36</v>
      </c>
      <c r="F76" s="25" t="s">
        <v>23</v>
      </c>
      <c r="G76" s="25" t="s">
        <v>24</v>
      </c>
      <c r="H76" s="25" t="s">
        <v>26</v>
      </c>
      <c r="I76" s="25" t="s">
        <v>27</v>
      </c>
      <c r="J76" s="25">
        <v>0</v>
      </c>
      <c r="K76" s="25">
        <v>0</v>
      </c>
      <c r="L76" s="25">
        <v>0</v>
      </c>
      <c r="M76" s="25">
        <v>0</v>
      </c>
      <c r="N76" s="25">
        <v>0</v>
      </c>
      <c r="O76" s="25">
        <v>0</v>
      </c>
      <c r="P76" s="25"/>
      <c r="Q76" s="23" t="s">
        <v>28</v>
      </c>
      <c r="R76" s="23">
        <v>1</v>
      </c>
      <c r="S76" s="22">
        <v>8662170.2599999998</v>
      </c>
      <c r="T76" s="22">
        <v>8482173</v>
      </c>
      <c r="U76" s="26" t="s">
        <v>149</v>
      </c>
    </row>
    <row r="77" spans="1:21" s="24" customFormat="1" ht="63.75" customHeight="1" x14ac:dyDescent="0.25">
      <c r="A77" s="23">
        <v>74</v>
      </c>
      <c r="B77" s="23">
        <v>2325928</v>
      </c>
      <c r="C77" s="23" t="s">
        <v>43</v>
      </c>
      <c r="D77" s="23">
        <v>2025</v>
      </c>
      <c r="E77" s="23" t="s">
        <v>36</v>
      </c>
      <c r="F77" s="25" t="s">
        <v>23</v>
      </c>
      <c r="G77" s="25" t="s">
        <v>24</v>
      </c>
      <c r="H77" s="25" t="s">
        <v>25</v>
      </c>
      <c r="I77" s="25" t="s">
        <v>32</v>
      </c>
      <c r="J77" s="25" t="s">
        <v>26</v>
      </c>
      <c r="K77" s="25" t="s">
        <v>33</v>
      </c>
      <c r="L77" s="25" t="s">
        <v>27</v>
      </c>
      <c r="M77" s="25">
        <v>0</v>
      </c>
      <c r="N77" s="25">
        <v>0</v>
      </c>
      <c r="O77" s="25">
        <v>0</v>
      </c>
      <c r="P77" s="25"/>
      <c r="Q77" s="23" t="s">
        <v>28</v>
      </c>
      <c r="R77" s="23">
        <v>1</v>
      </c>
      <c r="S77" s="22">
        <v>7659666.4900000002</v>
      </c>
      <c r="T77" s="22">
        <v>5957726</v>
      </c>
      <c r="U77" s="26" t="s">
        <v>150</v>
      </c>
    </row>
    <row r="78" spans="1:21" s="24" customFormat="1" ht="178.5" customHeight="1" x14ac:dyDescent="0.25">
      <c r="A78" s="23">
        <v>75</v>
      </c>
      <c r="B78" s="23">
        <v>2309875</v>
      </c>
      <c r="C78" s="23" t="s">
        <v>43</v>
      </c>
      <c r="D78" s="23">
        <v>2025</v>
      </c>
      <c r="E78" s="23" t="s">
        <v>36</v>
      </c>
      <c r="F78" s="25" t="s">
        <v>23</v>
      </c>
      <c r="G78" s="25" t="s">
        <v>24</v>
      </c>
      <c r="H78" s="25" t="s">
        <v>64</v>
      </c>
      <c r="I78" s="25" t="s">
        <v>39</v>
      </c>
      <c r="J78" s="25" t="s">
        <v>32</v>
      </c>
      <c r="K78" s="25" t="s">
        <v>33</v>
      </c>
      <c r="L78" s="25" t="s">
        <v>27</v>
      </c>
      <c r="M78" s="25">
        <v>0</v>
      </c>
      <c r="N78" s="25">
        <v>0</v>
      </c>
      <c r="O78" s="25">
        <v>0</v>
      </c>
      <c r="P78" s="25"/>
      <c r="Q78" s="23" t="s">
        <v>28</v>
      </c>
      <c r="R78" s="23">
        <v>1</v>
      </c>
      <c r="S78" s="22">
        <v>7080532.6200000001</v>
      </c>
      <c r="T78" s="22">
        <v>7154981</v>
      </c>
      <c r="U78" s="26" t="s">
        <v>151</v>
      </c>
    </row>
    <row r="79" spans="1:21" s="24" customFormat="1" ht="191.25" customHeight="1" x14ac:dyDescent="0.25">
      <c r="A79" s="23">
        <v>76</v>
      </c>
      <c r="B79" s="23">
        <v>2293026</v>
      </c>
      <c r="C79" s="23" t="s">
        <v>43</v>
      </c>
      <c r="D79" s="23">
        <v>2025</v>
      </c>
      <c r="E79" s="23" t="s">
        <v>36</v>
      </c>
      <c r="F79" s="25" t="s">
        <v>152</v>
      </c>
      <c r="G79" s="25" t="s">
        <v>24</v>
      </c>
      <c r="H79" s="25" t="s">
        <v>39</v>
      </c>
      <c r="I79" s="25" t="s">
        <v>70</v>
      </c>
      <c r="J79" s="25" t="s">
        <v>32</v>
      </c>
      <c r="K79" s="25" t="s">
        <v>33</v>
      </c>
      <c r="L79" s="25" t="s">
        <v>52</v>
      </c>
      <c r="M79" s="25" t="s">
        <v>27</v>
      </c>
      <c r="N79" s="25">
        <v>0</v>
      </c>
      <c r="O79" s="25">
        <v>0</v>
      </c>
      <c r="P79" s="25"/>
      <c r="Q79" s="23" t="s">
        <v>28</v>
      </c>
      <c r="R79" s="23">
        <v>2</v>
      </c>
      <c r="S79" s="22">
        <v>7514704.7699999996</v>
      </c>
      <c r="T79" s="22">
        <v>7380924</v>
      </c>
      <c r="U79" s="26" t="s">
        <v>153</v>
      </c>
    </row>
    <row r="80" spans="1:21" s="24" customFormat="1" ht="191.25" customHeight="1" x14ac:dyDescent="0.25">
      <c r="A80" s="23">
        <v>77</v>
      </c>
      <c r="B80" s="23">
        <v>2179214</v>
      </c>
      <c r="C80" s="23">
        <v>2017</v>
      </c>
      <c r="D80" s="23">
        <v>2025</v>
      </c>
      <c r="E80" s="23" t="s">
        <v>36</v>
      </c>
      <c r="F80" s="25" t="s">
        <v>23</v>
      </c>
      <c r="G80" s="25" t="s">
        <v>64</v>
      </c>
      <c r="H80" s="25" t="s">
        <v>32</v>
      </c>
      <c r="I80" s="25" t="s">
        <v>33</v>
      </c>
      <c r="J80" s="25" t="s">
        <v>27</v>
      </c>
      <c r="K80" s="25">
        <v>0</v>
      </c>
      <c r="L80" s="25">
        <v>0</v>
      </c>
      <c r="M80" s="25">
        <v>0</v>
      </c>
      <c r="N80" s="25">
        <v>0</v>
      </c>
      <c r="O80" s="25">
        <v>0</v>
      </c>
      <c r="P80" s="25"/>
      <c r="Q80" s="23" t="s">
        <v>28</v>
      </c>
      <c r="R80" s="23">
        <v>1</v>
      </c>
      <c r="S80" s="22">
        <v>2627036.08</v>
      </c>
      <c r="T80" s="22">
        <v>2828416</v>
      </c>
      <c r="U80" s="26" t="s">
        <v>154</v>
      </c>
    </row>
    <row r="81" spans="1:21" s="24" customFormat="1" ht="191.25" customHeight="1" x14ac:dyDescent="0.25">
      <c r="A81" s="23">
        <v>78</v>
      </c>
      <c r="B81" s="23">
        <v>2303481</v>
      </c>
      <c r="C81" s="23" t="s">
        <v>43</v>
      </c>
      <c r="D81" s="23">
        <v>2025</v>
      </c>
      <c r="E81" s="23" t="s">
        <v>36</v>
      </c>
      <c r="F81" s="25" t="s">
        <v>23</v>
      </c>
      <c r="G81" s="25" t="s">
        <v>32</v>
      </c>
      <c r="H81" s="25" t="s">
        <v>33</v>
      </c>
      <c r="I81" s="25" t="s">
        <v>27</v>
      </c>
      <c r="J81" s="25">
        <v>0</v>
      </c>
      <c r="K81" s="25">
        <v>0</v>
      </c>
      <c r="L81" s="25">
        <v>0</v>
      </c>
      <c r="M81" s="25">
        <v>0</v>
      </c>
      <c r="N81" s="25">
        <v>0</v>
      </c>
      <c r="O81" s="25">
        <v>0</v>
      </c>
      <c r="P81" s="25"/>
      <c r="Q81" s="23" t="s">
        <v>41</v>
      </c>
      <c r="R81" s="23">
        <v>1</v>
      </c>
      <c r="S81" s="22">
        <v>5180704.38</v>
      </c>
      <c r="T81" s="22">
        <v>5104046</v>
      </c>
      <c r="U81" s="26" t="s">
        <v>155</v>
      </c>
    </row>
    <row r="82" spans="1:21" s="24" customFormat="1" ht="409.5" customHeight="1" x14ac:dyDescent="0.25">
      <c r="A82" s="23">
        <v>79</v>
      </c>
      <c r="B82" s="23">
        <v>2192472</v>
      </c>
      <c r="C82" s="23">
        <v>2017</v>
      </c>
      <c r="D82" s="23">
        <v>2026</v>
      </c>
      <c r="E82" s="23" t="s">
        <v>36</v>
      </c>
      <c r="F82" s="25" t="s">
        <v>23</v>
      </c>
      <c r="G82" s="25" t="s">
        <v>24</v>
      </c>
      <c r="H82" s="25" t="s">
        <v>25</v>
      </c>
      <c r="I82" s="25" t="s">
        <v>26</v>
      </c>
      <c r="J82" s="25" t="s">
        <v>27</v>
      </c>
      <c r="K82" s="25" t="s">
        <v>40</v>
      </c>
      <c r="L82" s="25">
        <v>0</v>
      </c>
      <c r="M82" s="25">
        <v>0</v>
      </c>
      <c r="N82" s="25">
        <v>0</v>
      </c>
      <c r="O82" s="25">
        <v>0</v>
      </c>
      <c r="P82" s="25"/>
      <c r="Q82" s="23" t="s">
        <v>34</v>
      </c>
      <c r="R82" s="23">
        <v>1</v>
      </c>
      <c r="S82" s="22">
        <v>5330770.5599999996</v>
      </c>
      <c r="T82" s="22">
        <v>5666563</v>
      </c>
      <c r="U82" s="26" t="s">
        <v>156</v>
      </c>
    </row>
    <row r="83" spans="1:21" s="24" customFormat="1" ht="409.5" customHeight="1" x14ac:dyDescent="0.25">
      <c r="A83" s="23">
        <v>80</v>
      </c>
      <c r="B83" s="23">
        <v>2300025</v>
      </c>
      <c r="C83" s="23" t="s">
        <v>43</v>
      </c>
      <c r="D83" s="23">
        <v>2025</v>
      </c>
      <c r="E83" s="23" t="s">
        <v>36</v>
      </c>
      <c r="F83" s="25" t="s">
        <v>23</v>
      </c>
      <c r="G83" s="25" t="s">
        <v>24</v>
      </c>
      <c r="H83" s="25" t="s">
        <v>157</v>
      </c>
      <c r="I83" s="25" t="s">
        <v>65</v>
      </c>
      <c r="J83" s="25" t="s">
        <v>25</v>
      </c>
      <c r="K83" s="25" t="s">
        <v>26</v>
      </c>
      <c r="L83" s="25" t="s">
        <v>27</v>
      </c>
      <c r="M83" s="25">
        <v>0</v>
      </c>
      <c r="N83" s="25">
        <v>0</v>
      </c>
      <c r="O83" s="25">
        <v>0</v>
      </c>
      <c r="P83" s="25"/>
      <c r="Q83" s="23" t="s">
        <v>28</v>
      </c>
      <c r="R83" s="23">
        <v>7</v>
      </c>
      <c r="S83" s="22">
        <v>14206988.33</v>
      </c>
      <c r="T83" s="22">
        <v>16137950</v>
      </c>
      <c r="U83" s="26" t="s">
        <v>158</v>
      </c>
    </row>
    <row r="84" spans="1:21" s="24" customFormat="1" ht="409.5" customHeight="1" x14ac:dyDescent="0.25">
      <c r="A84" s="23">
        <v>81</v>
      </c>
      <c r="B84" s="23">
        <v>2199839</v>
      </c>
      <c r="C84" s="23">
        <v>2017</v>
      </c>
      <c r="D84" s="23">
        <v>2025</v>
      </c>
      <c r="E84" s="23" t="s">
        <v>36</v>
      </c>
      <c r="F84" s="25" t="s">
        <v>23</v>
      </c>
      <c r="G84" s="25" t="s">
        <v>32</v>
      </c>
      <c r="H84" s="25" t="s">
        <v>33</v>
      </c>
      <c r="I84" s="25" t="s">
        <v>27</v>
      </c>
      <c r="J84" s="25">
        <v>0</v>
      </c>
      <c r="K84" s="25">
        <v>0</v>
      </c>
      <c r="L84" s="25">
        <v>0</v>
      </c>
      <c r="M84" s="25">
        <v>0</v>
      </c>
      <c r="N84" s="25">
        <v>0</v>
      </c>
      <c r="O84" s="25">
        <v>0</v>
      </c>
      <c r="P84" s="25"/>
      <c r="Q84" s="23" t="s">
        <v>28</v>
      </c>
      <c r="R84" s="23">
        <v>1</v>
      </c>
      <c r="S84" s="22">
        <v>1368638.49</v>
      </c>
      <c r="T84" s="22">
        <v>1423956</v>
      </c>
      <c r="U84" s="26" t="s">
        <v>159</v>
      </c>
    </row>
    <row r="85" spans="1:21" s="24" customFormat="1" ht="204" customHeight="1" x14ac:dyDescent="0.25">
      <c r="A85" s="23">
        <v>82</v>
      </c>
      <c r="B85" s="23">
        <v>2332515</v>
      </c>
      <c r="C85" s="23" t="s">
        <v>43</v>
      </c>
      <c r="D85" s="23">
        <v>2025</v>
      </c>
      <c r="E85" s="23" t="s">
        <v>36</v>
      </c>
      <c r="F85" s="25" t="s">
        <v>23</v>
      </c>
      <c r="G85" s="25" t="s">
        <v>32</v>
      </c>
      <c r="H85" s="25" t="s">
        <v>33</v>
      </c>
      <c r="I85" s="25" t="s">
        <v>27</v>
      </c>
      <c r="J85" s="25">
        <v>0</v>
      </c>
      <c r="K85" s="25">
        <v>0</v>
      </c>
      <c r="L85" s="25">
        <v>0</v>
      </c>
      <c r="M85" s="25">
        <v>0</v>
      </c>
      <c r="N85" s="25">
        <v>0</v>
      </c>
      <c r="O85" s="25">
        <v>0</v>
      </c>
      <c r="P85" s="25"/>
      <c r="Q85" s="23" t="s">
        <v>28</v>
      </c>
      <c r="R85" s="23">
        <v>1</v>
      </c>
      <c r="S85" s="22">
        <v>1283908.5900000001</v>
      </c>
      <c r="T85" s="22">
        <v>1342489</v>
      </c>
      <c r="U85" s="26" t="s">
        <v>160</v>
      </c>
    </row>
    <row r="86" spans="1:21" s="24" customFormat="1" ht="280.5" customHeight="1" x14ac:dyDescent="0.25">
      <c r="A86" s="23">
        <v>83</v>
      </c>
      <c r="B86" s="23">
        <v>2211489</v>
      </c>
      <c r="C86" s="23">
        <v>2017</v>
      </c>
      <c r="D86" s="23">
        <v>2025</v>
      </c>
      <c r="E86" s="23" t="s">
        <v>36</v>
      </c>
      <c r="F86" s="25" t="s">
        <v>23</v>
      </c>
      <c r="G86" s="25" t="s">
        <v>101</v>
      </c>
      <c r="H86" s="25" t="s">
        <v>32</v>
      </c>
      <c r="I86" s="25" t="s">
        <v>33</v>
      </c>
      <c r="J86" s="25" t="s">
        <v>27</v>
      </c>
      <c r="K86" s="25">
        <v>0</v>
      </c>
      <c r="L86" s="25">
        <v>0</v>
      </c>
      <c r="M86" s="25">
        <v>0</v>
      </c>
      <c r="N86" s="25">
        <v>0</v>
      </c>
      <c r="O86" s="25">
        <v>0</v>
      </c>
      <c r="P86" s="25"/>
      <c r="Q86" s="23" t="s">
        <v>28</v>
      </c>
      <c r="R86" s="23">
        <v>1</v>
      </c>
      <c r="S86" s="22">
        <v>4217984.8</v>
      </c>
      <c r="T86" s="22">
        <v>3808205</v>
      </c>
      <c r="U86" s="26" t="s">
        <v>161</v>
      </c>
    </row>
    <row r="87" spans="1:21" s="24" customFormat="1" ht="409.5" customHeight="1" x14ac:dyDescent="0.25">
      <c r="A87" s="23">
        <v>84</v>
      </c>
      <c r="B87" s="23">
        <v>2223552</v>
      </c>
      <c r="C87" s="23">
        <v>2017</v>
      </c>
      <c r="D87" s="23">
        <v>2025</v>
      </c>
      <c r="E87" s="23" t="s">
        <v>36</v>
      </c>
      <c r="F87" s="25" t="s">
        <v>23</v>
      </c>
      <c r="G87" s="25" t="s">
        <v>101</v>
      </c>
      <c r="H87" s="25" t="s">
        <v>25</v>
      </c>
      <c r="I87" s="25" t="s">
        <v>32</v>
      </c>
      <c r="J87" s="25" t="s">
        <v>26</v>
      </c>
      <c r="K87" s="25" t="s">
        <v>33</v>
      </c>
      <c r="L87" s="25" t="s">
        <v>27</v>
      </c>
      <c r="M87" s="25">
        <v>0</v>
      </c>
      <c r="N87" s="25">
        <v>0</v>
      </c>
      <c r="O87" s="25">
        <v>0</v>
      </c>
      <c r="P87" s="25"/>
      <c r="Q87" s="23" t="s">
        <v>28</v>
      </c>
      <c r="R87" s="23">
        <v>1</v>
      </c>
      <c r="S87" s="22">
        <v>5476729.1900000004</v>
      </c>
      <c r="T87" s="22">
        <v>5482733</v>
      </c>
      <c r="U87" s="26" t="s">
        <v>162</v>
      </c>
    </row>
    <row r="88" spans="1:21" s="24" customFormat="1" ht="408" customHeight="1" x14ac:dyDescent="0.25">
      <c r="A88" s="23">
        <v>85</v>
      </c>
      <c r="B88" s="23">
        <v>2320843</v>
      </c>
      <c r="C88" s="23" t="s">
        <v>43</v>
      </c>
      <c r="D88" s="23">
        <v>2025</v>
      </c>
      <c r="E88" s="23" t="s">
        <v>36</v>
      </c>
      <c r="F88" s="25" t="s">
        <v>49</v>
      </c>
      <c r="G88" s="25" t="s">
        <v>24</v>
      </c>
      <c r="H88" s="25" t="s">
        <v>64</v>
      </c>
      <c r="I88" s="25" t="s">
        <v>65</v>
      </c>
      <c r="J88" s="25" t="s">
        <v>39</v>
      </c>
      <c r="K88" s="25" t="s">
        <v>32</v>
      </c>
      <c r="L88" s="25" t="s">
        <v>33</v>
      </c>
      <c r="M88" s="25" t="s">
        <v>27</v>
      </c>
      <c r="N88" s="25">
        <v>0</v>
      </c>
      <c r="O88" s="25">
        <v>0</v>
      </c>
      <c r="P88" s="25"/>
      <c r="Q88" s="23" t="s">
        <v>28</v>
      </c>
      <c r="R88" s="23">
        <v>1</v>
      </c>
      <c r="S88" s="22">
        <v>2027768.45</v>
      </c>
      <c r="T88" s="22">
        <v>5324968</v>
      </c>
      <c r="U88" s="26" t="s">
        <v>163</v>
      </c>
    </row>
    <row r="89" spans="1:21" s="24" customFormat="1" ht="409.5" customHeight="1" x14ac:dyDescent="0.25">
      <c r="A89" s="23">
        <v>86</v>
      </c>
      <c r="B89" s="23">
        <v>2244008</v>
      </c>
      <c r="C89" s="23">
        <v>2017</v>
      </c>
      <c r="D89" s="23">
        <v>2026</v>
      </c>
      <c r="E89" s="23" t="s">
        <v>36</v>
      </c>
      <c r="F89" s="25" t="s">
        <v>23</v>
      </c>
      <c r="G89" s="25" t="s">
        <v>32</v>
      </c>
      <c r="H89" s="25" t="s">
        <v>33</v>
      </c>
      <c r="I89" s="25" t="s">
        <v>27</v>
      </c>
      <c r="J89" s="25" t="s">
        <v>40</v>
      </c>
      <c r="K89" s="25">
        <v>0</v>
      </c>
      <c r="L89" s="25">
        <v>0</v>
      </c>
      <c r="M89" s="25">
        <v>0</v>
      </c>
      <c r="N89" s="25">
        <v>0</v>
      </c>
      <c r="O89" s="25">
        <v>0</v>
      </c>
      <c r="P89" s="25"/>
      <c r="Q89" s="23" t="s">
        <v>67</v>
      </c>
      <c r="R89" s="23">
        <v>1</v>
      </c>
      <c r="S89" s="22">
        <v>7341951</v>
      </c>
      <c r="T89" s="22">
        <v>7891465</v>
      </c>
      <c r="U89" s="26" t="s">
        <v>164</v>
      </c>
    </row>
    <row r="90" spans="1:21" s="24" customFormat="1" ht="216.75" customHeight="1" x14ac:dyDescent="0.25">
      <c r="A90" s="23">
        <v>87</v>
      </c>
      <c r="B90" s="23">
        <v>2236140</v>
      </c>
      <c r="C90" s="23">
        <v>2017</v>
      </c>
      <c r="D90" s="23">
        <v>2025</v>
      </c>
      <c r="E90" s="23" t="s">
        <v>36</v>
      </c>
      <c r="F90" s="25" t="s">
        <v>23</v>
      </c>
      <c r="G90" s="25" t="s">
        <v>24</v>
      </c>
      <c r="H90" s="25" t="s">
        <v>25</v>
      </c>
      <c r="I90" s="25" t="s">
        <v>26</v>
      </c>
      <c r="J90" s="25" t="s">
        <v>27</v>
      </c>
      <c r="K90" s="25">
        <v>0</v>
      </c>
      <c r="L90" s="25">
        <v>0</v>
      </c>
      <c r="M90" s="25">
        <v>0</v>
      </c>
      <c r="N90" s="25">
        <v>0</v>
      </c>
      <c r="O90" s="25">
        <v>0</v>
      </c>
      <c r="P90" s="25"/>
      <c r="Q90" s="23" t="s">
        <v>28</v>
      </c>
      <c r="R90" s="23">
        <v>1</v>
      </c>
      <c r="S90" s="22">
        <v>9917345.9800000004</v>
      </c>
      <c r="T90" s="22">
        <v>9976218</v>
      </c>
      <c r="U90" s="26" t="s">
        <v>165</v>
      </c>
    </row>
    <row r="91" spans="1:21" s="24" customFormat="1" ht="229.5" customHeight="1" x14ac:dyDescent="0.25">
      <c r="A91" s="23">
        <v>88</v>
      </c>
      <c r="B91" s="23">
        <v>2284880</v>
      </c>
      <c r="C91" s="23" t="s">
        <v>43</v>
      </c>
      <c r="D91" s="23">
        <v>2025</v>
      </c>
      <c r="E91" s="23" t="s">
        <v>36</v>
      </c>
      <c r="F91" s="25" t="s">
        <v>23</v>
      </c>
      <c r="G91" s="25" t="s">
        <v>24</v>
      </c>
      <c r="H91" s="25" t="s">
        <v>25</v>
      </c>
      <c r="I91" s="25" t="s">
        <v>26</v>
      </c>
      <c r="J91" s="25" t="s">
        <v>27</v>
      </c>
      <c r="K91" s="25">
        <v>0</v>
      </c>
      <c r="L91" s="25">
        <v>0</v>
      </c>
      <c r="M91" s="25">
        <v>0</v>
      </c>
      <c r="N91" s="25">
        <v>0</v>
      </c>
      <c r="O91" s="25">
        <v>0</v>
      </c>
      <c r="P91" s="25"/>
      <c r="Q91" s="23" t="s">
        <v>28</v>
      </c>
      <c r="R91" s="23">
        <v>1</v>
      </c>
      <c r="S91" s="22">
        <v>7044095.8799999999</v>
      </c>
      <c r="T91" s="22">
        <v>7205779</v>
      </c>
      <c r="U91" s="26" t="s">
        <v>166</v>
      </c>
    </row>
    <row r="92" spans="1:21" s="24" customFormat="1" ht="242.25" customHeight="1" x14ac:dyDescent="0.25">
      <c r="A92" s="23">
        <v>89</v>
      </c>
      <c r="B92" s="23">
        <v>2301175</v>
      </c>
      <c r="C92" s="23" t="s">
        <v>43</v>
      </c>
      <c r="D92" s="23">
        <v>2025</v>
      </c>
      <c r="E92" s="23" t="s">
        <v>36</v>
      </c>
      <c r="F92" s="25" t="s">
        <v>49</v>
      </c>
      <c r="G92" s="25" t="s">
        <v>24</v>
      </c>
      <c r="H92" s="25" t="s">
        <v>32</v>
      </c>
      <c r="I92" s="25" t="s">
        <v>33</v>
      </c>
      <c r="J92" s="25" t="s">
        <v>52</v>
      </c>
      <c r="K92" s="25" t="s">
        <v>27</v>
      </c>
      <c r="L92" s="25">
        <v>0</v>
      </c>
      <c r="M92" s="25">
        <v>0</v>
      </c>
      <c r="N92" s="25">
        <v>0</v>
      </c>
      <c r="O92" s="25">
        <v>0</v>
      </c>
      <c r="P92" s="25"/>
      <c r="Q92" s="23" t="s">
        <v>28</v>
      </c>
      <c r="R92" s="23">
        <v>1</v>
      </c>
      <c r="S92" s="22">
        <v>7761672.4299999997</v>
      </c>
      <c r="T92" s="22">
        <v>7394058</v>
      </c>
      <c r="U92" s="26" t="s">
        <v>167</v>
      </c>
    </row>
    <row r="93" spans="1:21" s="24" customFormat="1" ht="255" customHeight="1" x14ac:dyDescent="0.25">
      <c r="A93" s="23">
        <v>90</v>
      </c>
      <c r="B93" s="23">
        <v>2324702</v>
      </c>
      <c r="C93" s="23" t="s">
        <v>43</v>
      </c>
      <c r="D93" s="23">
        <v>2025</v>
      </c>
      <c r="E93" s="23" t="s">
        <v>36</v>
      </c>
      <c r="F93" s="25" t="s">
        <v>23</v>
      </c>
      <c r="G93" s="25" t="s">
        <v>26</v>
      </c>
      <c r="H93" s="25" t="s">
        <v>27</v>
      </c>
      <c r="I93" s="25">
        <v>0</v>
      </c>
      <c r="J93" s="25">
        <v>0</v>
      </c>
      <c r="K93" s="25">
        <v>0</v>
      </c>
      <c r="L93" s="25">
        <v>0</v>
      </c>
      <c r="M93" s="25">
        <v>0</v>
      </c>
      <c r="N93" s="25">
        <v>0</v>
      </c>
      <c r="O93" s="25">
        <v>0</v>
      </c>
      <c r="P93" s="25"/>
      <c r="Q93" s="23" t="s">
        <v>28</v>
      </c>
      <c r="R93" s="23">
        <v>6</v>
      </c>
      <c r="S93" s="22">
        <v>10746903.300000001</v>
      </c>
      <c r="T93" s="22">
        <v>10573287</v>
      </c>
      <c r="U93" s="26" t="s">
        <v>168</v>
      </c>
    </row>
    <row r="94" spans="1:21" s="24" customFormat="1" ht="178.5" customHeight="1" x14ac:dyDescent="0.25">
      <c r="A94" s="23">
        <v>91</v>
      </c>
      <c r="B94" s="23">
        <v>2281316</v>
      </c>
      <c r="C94" s="23" t="s">
        <v>43</v>
      </c>
      <c r="D94" s="23">
        <v>2025</v>
      </c>
      <c r="E94" s="23" t="s">
        <v>36</v>
      </c>
      <c r="F94" s="25" t="s">
        <v>49</v>
      </c>
      <c r="G94" s="25" t="s">
        <v>24</v>
      </c>
      <c r="H94" s="25" t="s">
        <v>25</v>
      </c>
      <c r="I94" s="25" t="s">
        <v>33</v>
      </c>
      <c r="J94" s="25" t="s">
        <v>27</v>
      </c>
      <c r="K94" s="25">
        <v>0</v>
      </c>
      <c r="L94" s="25">
        <v>0</v>
      </c>
      <c r="M94" s="25">
        <v>0</v>
      </c>
      <c r="N94" s="25">
        <v>0</v>
      </c>
      <c r="O94" s="25">
        <v>0</v>
      </c>
      <c r="P94" s="25"/>
      <c r="Q94" s="23" t="s">
        <v>41</v>
      </c>
      <c r="R94" s="23">
        <v>1</v>
      </c>
      <c r="S94" s="22">
        <v>3525988</v>
      </c>
      <c r="T94" s="22">
        <v>3662754</v>
      </c>
      <c r="U94" s="26" t="s">
        <v>169</v>
      </c>
    </row>
    <row r="95" spans="1:21" s="24" customFormat="1" ht="280.5" customHeight="1" x14ac:dyDescent="0.25">
      <c r="A95" s="23">
        <v>92</v>
      </c>
      <c r="B95" s="23">
        <v>2274018</v>
      </c>
      <c r="C95" s="23" t="s">
        <v>43</v>
      </c>
      <c r="D95" s="23">
        <v>2025</v>
      </c>
      <c r="E95" s="23" t="s">
        <v>36</v>
      </c>
      <c r="F95" s="25" t="s">
        <v>23</v>
      </c>
      <c r="G95" s="25" t="s">
        <v>26</v>
      </c>
      <c r="H95" s="25" t="s">
        <v>27</v>
      </c>
      <c r="I95" s="25">
        <v>0</v>
      </c>
      <c r="J95" s="25">
        <v>0</v>
      </c>
      <c r="K95" s="25">
        <v>0</v>
      </c>
      <c r="L95" s="25">
        <v>0</v>
      </c>
      <c r="M95" s="25">
        <v>0</v>
      </c>
      <c r="N95" s="25">
        <v>0</v>
      </c>
      <c r="O95" s="25">
        <v>0</v>
      </c>
      <c r="P95" s="25"/>
      <c r="Q95" s="23" t="s">
        <v>28</v>
      </c>
      <c r="R95" s="23">
        <v>1</v>
      </c>
      <c r="S95" s="22">
        <v>6378080.9900000002</v>
      </c>
      <c r="T95" s="22">
        <v>6258080</v>
      </c>
      <c r="U95" s="26" t="s">
        <v>170</v>
      </c>
    </row>
    <row r="96" spans="1:21" s="24" customFormat="1" ht="409.5" customHeight="1" x14ac:dyDescent="0.25">
      <c r="A96" s="23">
        <v>93</v>
      </c>
      <c r="B96" s="23">
        <v>2238969</v>
      </c>
      <c r="C96" s="23">
        <v>2017</v>
      </c>
      <c r="D96" s="23">
        <v>2025</v>
      </c>
      <c r="E96" s="23" t="s">
        <v>36</v>
      </c>
      <c r="F96" s="25" t="s">
        <v>23</v>
      </c>
      <c r="G96" s="25" t="s">
        <v>24</v>
      </c>
      <c r="H96" s="25" t="s">
        <v>32</v>
      </c>
      <c r="I96" s="25" t="s">
        <v>33</v>
      </c>
      <c r="J96" s="25" t="s">
        <v>27</v>
      </c>
      <c r="K96" s="25">
        <v>0</v>
      </c>
      <c r="L96" s="25">
        <v>0</v>
      </c>
      <c r="M96" s="25">
        <v>0</v>
      </c>
      <c r="N96" s="25">
        <v>0</v>
      </c>
      <c r="O96" s="25">
        <v>0</v>
      </c>
      <c r="P96" s="25"/>
      <c r="Q96" s="23" t="s">
        <v>41</v>
      </c>
      <c r="R96" s="23">
        <v>1</v>
      </c>
      <c r="S96" s="22">
        <v>5120489.1399999997</v>
      </c>
      <c r="T96" s="22">
        <v>4963221</v>
      </c>
      <c r="U96" s="26" t="s">
        <v>171</v>
      </c>
    </row>
    <row r="97" spans="1:21" s="24" customFormat="1" ht="318.75" customHeight="1" x14ac:dyDescent="0.25">
      <c r="A97" s="23">
        <v>94</v>
      </c>
      <c r="B97" s="23">
        <v>2304943</v>
      </c>
      <c r="C97" s="23" t="s">
        <v>43</v>
      </c>
      <c r="D97" s="23">
        <v>2025</v>
      </c>
      <c r="E97" s="23" t="s">
        <v>36</v>
      </c>
      <c r="F97" s="25" t="s">
        <v>134</v>
      </c>
      <c r="G97" s="25" t="s">
        <v>64</v>
      </c>
      <c r="H97" s="25" t="s">
        <v>39</v>
      </c>
      <c r="I97" s="25" t="s">
        <v>25</v>
      </c>
      <c r="J97" s="25" t="s">
        <v>26</v>
      </c>
      <c r="K97" s="25" t="s">
        <v>27</v>
      </c>
      <c r="L97" s="25">
        <v>0</v>
      </c>
      <c r="M97" s="25">
        <v>0</v>
      </c>
      <c r="N97" s="25">
        <v>0</v>
      </c>
      <c r="O97" s="25">
        <v>0</v>
      </c>
      <c r="P97" s="25"/>
      <c r="Q97" s="23" t="s">
        <v>28</v>
      </c>
      <c r="R97" s="23">
        <v>1</v>
      </c>
      <c r="S97" s="22">
        <v>3811857.26</v>
      </c>
      <c r="T97" s="22">
        <v>4690685</v>
      </c>
      <c r="U97" s="26" t="s">
        <v>172</v>
      </c>
    </row>
    <row r="98" spans="1:21" s="24" customFormat="1" ht="204" customHeight="1" x14ac:dyDescent="0.25">
      <c r="A98" s="23">
        <v>95</v>
      </c>
      <c r="B98" s="23">
        <v>2202661</v>
      </c>
      <c r="C98" s="23" t="s">
        <v>173</v>
      </c>
      <c r="D98" s="23">
        <v>2025</v>
      </c>
      <c r="E98" s="23" t="s">
        <v>174</v>
      </c>
      <c r="F98" s="25" t="s">
        <v>24</v>
      </c>
      <c r="G98" s="25" t="s">
        <v>26</v>
      </c>
      <c r="H98" s="25" t="s">
        <v>27</v>
      </c>
      <c r="I98" s="25">
        <v>0</v>
      </c>
      <c r="J98" s="25">
        <v>0</v>
      </c>
      <c r="K98" s="25">
        <v>0</v>
      </c>
      <c r="L98" s="25">
        <v>0</v>
      </c>
      <c r="M98" s="25">
        <v>0</v>
      </c>
      <c r="N98" s="25">
        <v>0</v>
      </c>
      <c r="O98" s="25">
        <v>0</v>
      </c>
      <c r="P98" s="25"/>
      <c r="Q98" s="23" t="s">
        <v>28</v>
      </c>
      <c r="R98" s="23">
        <v>1</v>
      </c>
      <c r="S98" s="22">
        <v>2722888.11</v>
      </c>
      <c r="T98" s="22">
        <v>2652195</v>
      </c>
      <c r="U98" s="26" t="s">
        <v>175</v>
      </c>
    </row>
    <row r="99" spans="1:21" s="24" customFormat="1" ht="140.25" customHeight="1" x14ac:dyDescent="0.25">
      <c r="A99" s="23">
        <v>96</v>
      </c>
      <c r="B99" s="23">
        <v>2328806</v>
      </c>
      <c r="C99" s="23" t="s">
        <v>173</v>
      </c>
      <c r="D99" s="23">
        <v>2025</v>
      </c>
      <c r="E99" s="23" t="s">
        <v>174</v>
      </c>
      <c r="F99" s="25" t="s">
        <v>26</v>
      </c>
      <c r="G99" s="25" t="s">
        <v>27</v>
      </c>
      <c r="H99" s="25">
        <v>0</v>
      </c>
      <c r="I99" s="25">
        <v>0</v>
      </c>
      <c r="J99" s="25">
        <v>0</v>
      </c>
      <c r="K99" s="25">
        <v>0</v>
      </c>
      <c r="L99" s="25">
        <v>0</v>
      </c>
      <c r="M99" s="25">
        <v>0</v>
      </c>
      <c r="N99" s="25">
        <v>0</v>
      </c>
      <c r="O99" s="25">
        <v>0</v>
      </c>
      <c r="P99" s="25"/>
      <c r="Q99" s="23" t="s">
        <v>28</v>
      </c>
      <c r="R99" s="23">
        <v>1</v>
      </c>
      <c r="S99" s="22">
        <v>3293524.06</v>
      </c>
      <c r="T99" s="22">
        <v>3010767</v>
      </c>
      <c r="U99" s="26" t="s">
        <v>176</v>
      </c>
    </row>
    <row r="100" spans="1:21" s="24" customFormat="1" ht="242.25" customHeight="1" x14ac:dyDescent="0.25">
      <c r="A100" s="23">
        <v>97</v>
      </c>
      <c r="B100" s="23">
        <v>2196650</v>
      </c>
      <c r="C100" s="23">
        <v>2018</v>
      </c>
      <c r="D100" s="23">
        <v>2025</v>
      </c>
      <c r="E100" s="23" t="s">
        <v>174</v>
      </c>
      <c r="F100" s="25" t="s">
        <v>24</v>
      </c>
      <c r="G100" s="25" t="s">
        <v>39</v>
      </c>
      <c r="H100" s="25" t="s">
        <v>25</v>
      </c>
      <c r="I100" s="25" t="s">
        <v>32</v>
      </c>
      <c r="J100" s="25" t="s">
        <v>26</v>
      </c>
      <c r="K100" s="25" t="s">
        <v>33</v>
      </c>
      <c r="L100" s="25" t="s">
        <v>27</v>
      </c>
      <c r="M100" s="25">
        <v>0</v>
      </c>
      <c r="N100" s="25">
        <v>0</v>
      </c>
      <c r="O100" s="25">
        <v>0</v>
      </c>
      <c r="P100" s="25"/>
      <c r="Q100" s="23" t="s">
        <v>28</v>
      </c>
      <c r="R100" s="23">
        <v>1</v>
      </c>
      <c r="S100" s="22">
        <v>13457569.779999999</v>
      </c>
      <c r="T100" s="22">
        <v>13608986</v>
      </c>
      <c r="U100" s="26" t="s">
        <v>177</v>
      </c>
    </row>
    <row r="101" spans="1:21" s="24" customFormat="1" ht="89.25" customHeight="1" x14ac:dyDescent="0.25">
      <c r="A101" s="23">
        <v>98</v>
      </c>
      <c r="B101" s="23">
        <v>2268596</v>
      </c>
      <c r="C101" s="23" t="s">
        <v>173</v>
      </c>
      <c r="D101" s="23">
        <v>2025</v>
      </c>
      <c r="E101" s="23" t="s">
        <v>178</v>
      </c>
      <c r="F101" s="25" t="s">
        <v>25</v>
      </c>
      <c r="G101" s="25" t="s">
        <v>26</v>
      </c>
      <c r="H101" s="25" t="s">
        <v>27</v>
      </c>
      <c r="I101" s="25">
        <v>0</v>
      </c>
      <c r="J101" s="25">
        <v>0</v>
      </c>
      <c r="K101" s="25">
        <v>0</v>
      </c>
      <c r="L101" s="25">
        <v>0</v>
      </c>
      <c r="M101" s="25">
        <v>0</v>
      </c>
      <c r="N101" s="25">
        <v>0</v>
      </c>
      <c r="O101" s="25">
        <v>0</v>
      </c>
      <c r="P101" s="25"/>
      <c r="Q101" s="23" t="s">
        <v>179</v>
      </c>
      <c r="R101" s="23">
        <v>1</v>
      </c>
      <c r="S101" s="22">
        <v>3361558.47</v>
      </c>
      <c r="T101" s="22">
        <v>3333444</v>
      </c>
      <c r="U101" s="26" t="s">
        <v>180</v>
      </c>
    </row>
    <row r="102" spans="1:21" s="24" customFormat="1" ht="114.75" customHeight="1" x14ac:dyDescent="0.25">
      <c r="A102" s="23">
        <v>99</v>
      </c>
      <c r="B102" s="23">
        <v>2276104</v>
      </c>
      <c r="C102" s="23">
        <v>2018</v>
      </c>
      <c r="D102" s="23">
        <v>2025</v>
      </c>
      <c r="E102" s="23" t="s">
        <v>178</v>
      </c>
      <c r="F102" s="25" t="s">
        <v>26</v>
      </c>
      <c r="G102" s="25" t="s">
        <v>27</v>
      </c>
      <c r="H102" s="25">
        <v>0</v>
      </c>
      <c r="I102" s="25">
        <v>0</v>
      </c>
      <c r="J102" s="25">
        <v>0</v>
      </c>
      <c r="K102" s="25">
        <v>0</v>
      </c>
      <c r="L102" s="25">
        <v>0</v>
      </c>
      <c r="M102" s="25">
        <v>0</v>
      </c>
      <c r="N102" s="25">
        <v>0</v>
      </c>
      <c r="O102" s="25">
        <v>0</v>
      </c>
      <c r="P102" s="25"/>
      <c r="Q102" s="23" t="s">
        <v>28</v>
      </c>
      <c r="R102" s="23">
        <v>1</v>
      </c>
      <c r="S102" s="22">
        <v>2935951</v>
      </c>
      <c r="T102" s="22">
        <v>2938997</v>
      </c>
      <c r="U102" s="26" t="s">
        <v>181</v>
      </c>
    </row>
    <row r="103" spans="1:21" s="24" customFormat="1" ht="229.5" customHeight="1" x14ac:dyDescent="0.25">
      <c r="A103" s="23">
        <v>100</v>
      </c>
      <c r="B103" s="23">
        <v>2277963</v>
      </c>
      <c r="C103" s="23" t="s">
        <v>173</v>
      </c>
      <c r="D103" s="23">
        <v>2025</v>
      </c>
      <c r="E103" s="23" t="s">
        <v>178</v>
      </c>
      <c r="F103" s="25" t="s">
        <v>24</v>
      </c>
      <c r="G103" s="25" t="s">
        <v>25</v>
      </c>
      <c r="H103" s="25" t="s">
        <v>26</v>
      </c>
      <c r="I103" s="25" t="s">
        <v>27</v>
      </c>
      <c r="J103" s="25">
        <v>0</v>
      </c>
      <c r="K103" s="25">
        <v>0</v>
      </c>
      <c r="L103" s="25">
        <v>0</v>
      </c>
      <c r="M103" s="25">
        <v>0</v>
      </c>
      <c r="N103" s="25">
        <v>0</v>
      </c>
      <c r="O103" s="25">
        <v>0</v>
      </c>
      <c r="P103" s="25"/>
      <c r="Q103" s="23" t="s">
        <v>28</v>
      </c>
      <c r="R103" s="23">
        <v>1</v>
      </c>
      <c r="S103" s="22">
        <v>12976122</v>
      </c>
      <c r="T103" s="22">
        <v>15356094</v>
      </c>
      <c r="U103" s="26" t="s">
        <v>182</v>
      </c>
    </row>
    <row r="104" spans="1:21" s="24" customFormat="1" ht="409.5" customHeight="1" x14ac:dyDescent="0.25">
      <c r="A104" s="23">
        <v>101</v>
      </c>
      <c r="B104" s="23">
        <v>2264760</v>
      </c>
      <c r="C104" s="23" t="s">
        <v>173</v>
      </c>
      <c r="D104" s="23">
        <v>2025</v>
      </c>
      <c r="E104" s="23" t="s">
        <v>178</v>
      </c>
      <c r="F104" s="25" t="s">
        <v>26</v>
      </c>
      <c r="G104" s="25" t="s">
        <v>27</v>
      </c>
      <c r="H104" s="25">
        <v>0</v>
      </c>
      <c r="I104" s="25">
        <v>0</v>
      </c>
      <c r="J104" s="25">
        <v>0</v>
      </c>
      <c r="K104" s="25">
        <v>0</v>
      </c>
      <c r="L104" s="25">
        <v>0</v>
      </c>
      <c r="M104" s="25">
        <v>0</v>
      </c>
      <c r="N104" s="25">
        <v>0</v>
      </c>
      <c r="O104" s="25">
        <v>0</v>
      </c>
      <c r="P104" s="25"/>
      <c r="Q104" s="23" t="s">
        <v>28</v>
      </c>
      <c r="R104" s="23">
        <v>2</v>
      </c>
      <c r="S104" s="22">
        <v>4500153</v>
      </c>
      <c r="T104" s="22">
        <v>4513948</v>
      </c>
      <c r="U104" s="26" t="s">
        <v>183</v>
      </c>
    </row>
    <row r="105" spans="1:21" s="24" customFormat="1" ht="409.5" customHeight="1" x14ac:dyDescent="0.25">
      <c r="A105" s="23">
        <v>102</v>
      </c>
      <c r="B105" s="23">
        <v>2305105</v>
      </c>
      <c r="C105" s="23" t="s">
        <v>173</v>
      </c>
      <c r="D105" s="23">
        <v>2025</v>
      </c>
      <c r="E105" s="23" t="s">
        <v>152</v>
      </c>
      <c r="F105" s="25" t="s">
        <v>24</v>
      </c>
      <c r="G105" s="25" t="s">
        <v>39</v>
      </c>
      <c r="H105" s="25" t="s">
        <v>32</v>
      </c>
      <c r="I105" s="25" t="s">
        <v>26</v>
      </c>
      <c r="J105" s="25" t="s">
        <v>27</v>
      </c>
      <c r="K105" s="25">
        <v>0</v>
      </c>
      <c r="L105" s="25">
        <v>0</v>
      </c>
      <c r="M105" s="25">
        <v>0</v>
      </c>
      <c r="N105" s="25">
        <v>0</v>
      </c>
      <c r="O105" s="25">
        <v>0</v>
      </c>
      <c r="P105" s="25"/>
      <c r="Q105" s="23" t="s">
        <v>28</v>
      </c>
      <c r="R105" s="23">
        <v>1</v>
      </c>
      <c r="S105" s="22">
        <v>2023526.32</v>
      </c>
      <c r="T105" s="22">
        <v>2200886</v>
      </c>
      <c r="U105" s="26" t="s">
        <v>184</v>
      </c>
    </row>
    <row r="106" spans="1:21" s="24" customFormat="1" ht="267.75" customHeight="1" x14ac:dyDescent="0.25">
      <c r="A106" s="23">
        <v>103</v>
      </c>
      <c r="B106" s="23">
        <v>2339292</v>
      </c>
      <c r="C106" s="23" t="s">
        <v>173</v>
      </c>
      <c r="D106" s="23">
        <v>2025</v>
      </c>
      <c r="E106" s="23" t="s">
        <v>178</v>
      </c>
      <c r="F106" s="25" t="s">
        <v>101</v>
      </c>
      <c r="G106" s="25" t="s">
        <v>25</v>
      </c>
      <c r="H106" s="25" t="s">
        <v>26</v>
      </c>
      <c r="I106" s="25" t="s">
        <v>33</v>
      </c>
      <c r="J106" s="25" t="s">
        <v>27</v>
      </c>
      <c r="K106" s="25">
        <v>0</v>
      </c>
      <c r="L106" s="25">
        <v>0</v>
      </c>
      <c r="M106" s="25">
        <v>0</v>
      </c>
      <c r="N106" s="25">
        <v>0</v>
      </c>
      <c r="O106" s="25">
        <v>0</v>
      </c>
      <c r="P106" s="25"/>
      <c r="Q106" s="23" t="s">
        <v>28</v>
      </c>
      <c r="R106" s="23">
        <v>1</v>
      </c>
      <c r="S106" s="22">
        <v>4359998.76</v>
      </c>
      <c r="T106" s="22">
        <v>4570061</v>
      </c>
      <c r="U106" s="26" t="s">
        <v>185</v>
      </c>
    </row>
    <row r="107" spans="1:21" s="24" customFormat="1" ht="293.25" customHeight="1" x14ac:dyDescent="0.25">
      <c r="A107" s="23">
        <v>104</v>
      </c>
      <c r="B107" s="23">
        <v>2222510</v>
      </c>
      <c r="C107" s="23">
        <v>2018</v>
      </c>
      <c r="D107" s="23">
        <v>2025</v>
      </c>
      <c r="E107" s="23" t="s">
        <v>178</v>
      </c>
      <c r="F107" s="25" t="s">
        <v>24</v>
      </c>
      <c r="G107" s="25" t="s">
        <v>64</v>
      </c>
      <c r="H107" s="25" t="s">
        <v>27</v>
      </c>
      <c r="I107" s="25">
        <v>0</v>
      </c>
      <c r="J107" s="25">
        <v>0</v>
      </c>
      <c r="K107" s="25">
        <v>0</v>
      </c>
      <c r="L107" s="25">
        <v>0</v>
      </c>
      <c r="M107" s="25">
        <v>0</v>
      </c>
      <c r="N107" s="25">
        <v>0</v>
      </c>
      <c r="O107" s="25">
        <v>0</v>
      </c>
      <c r="P107" s="25"/>
      <c r="Q107" s="23" t="s">
        <v>28</v>
      </c>
      <c r="R107" s="23">
        <v>1</v>
      </c>
      <c r="S107" s="22">
        <v>3899952.57</v>
      </c>
      <c r="T107" s="22">
        <v>2807633</v>
      </c>
      <c r="U107" s="26" t="s">
        <v>186</v>
      </c>
    </row>
    <row r="108" spans="1:21" s="24" customFormat="1" ht="267.75" customHeight="1" x14ac:dyDescent="0.25">
      <c r="A108" s="23">
        <v>105</v>
      </c>
      <c r="B108" s="23">
        <v>2182410</v>
      </c>
      <c r="C108" s="23">
        <v>2018</v>
      </c>
      <c r="D108" s="23">
        <v>2025</v>
      </c>
      <c r="E108" s="23" t="s">
        <v>134</v>
      </c>
      <c r="F108" s="25" t="s">
        <v>64</v>
      </c>
      <c r="G108" s="25" t="s">
        <v>65</v>
      </c>
      <c r="H108" s="25" t="s">
        <v>25</v>
      </c>
      <c r="I108" s="25" t="s">
        <v>70</v>
      </c>
      <c r="J108" s="25" t="s">
        <v>32</v>
      </c>
      <c r="K108" s="25" t="s">
        <v>75</v>
      </c>
      <c r="L108" s="25" t="s">
        <v>33</v>
      </c>
      <c r="M108" s="25" t="s">
        <v>27</v>
      </c>
      <c r="N108" s="25">
        <v>0</v>
      </c>
      <c r="O108" s="25">
        <v>0</v>
      </c>
      <c r="P108" s="25"/>
      <c r="Q108" s="23" t="s">
        <v>41</v>
      </c>
      <c r="R108" s="23">
        <v>1</v>
      </c>
      <c r="S108" s="22">
        <v>10357287.560000001</v>
      </c>
      <c r="T108" s="22">
        <v>16362044</v>
      </c>
      <c r="U108" s="26" t="s">
        <v>187</v>
      </c>
    </row>
    <row r="109" spans="1:21" s="24" customFormat="1" ht="204" customHeight="1" x14ac:dyDescent="0.25">
      <c r="A109" s="23">
        <v>106</v>
      </c>
      <c r="B109" s="23">
        <v>2281994</v>
      </c>
      <c r="C109" s="23" t="s">
        <v>188</v>
      </c>
      <c r="D109" s="23">
        <v>2025</v>
      </c>
      <c r="E109" s="23" t="s">
        <v>101</v>
      </c>
      <c r="F109" s="25" t="s">
        <v>65</v>
      </c>
      <c r="G109" s="25" t="s">
        <v>32</v>
      </c>
      <c r="H109" s="25" t="s">
        <v>33</v>
      </c>
      <c r="I109" s="25" t="s">
        <v>52</v>
      </c>
      <c r="J109" s="25" t="s">
        <v>27</v>
      </c>
      <c r="K109" s="25">
        <v>0</v>
      </c>
      <c r="L109" s="25">
        <v>0</v>
      </c>
      <c r="M109" s="25">
        <v>0</v>
      </c>
      <c r="N109" s="25">
        <v>0</v>
      </c>
      <c r="O109" s="25">
        <v>0</v>
      </c>
      <c r="P109" s="25"/>
      <c r="Q109" s="23" t="s">
        <v>28</v>
      </c>
      <c r="R109" s="23">
        <v>1</v>
      </c>
      <c r="S109" s="22">
        <v>4437796.43</v>
      </c>
      <c r="T109" s="22">
        <v>3059983</v>
      </c>
      <c r="U109" s="26" t="s">
        <v>189</v>
      </c>
    </row>
    <row r="110" spans="1:21" s="24" customFormat="1" ht="242.25" customHeight="1" x14ac:dyDescent="0.25">
      <c r="A110" s="23">
        <v>107</v>
      </c>
      <c r="B110" s="23">
        <v>2300918</v>
      </c>
      <c r="C110" s="23" t="s">
        <v>188</v>
      </c>
      <c r="D110" s="23">
        <v>2025</v>
      </c>
      <c r="E110" s="23" t="s">
        <v>101</v>
      </c>
      <c r="F110" s="25" t="s">
        <v>65</v>
      </c>
      <c r="G110" s="25" t="s">
        <v>25</v>
      </c>
      <c r="H110" s="25" t="s">
        <v>32</v>
      </c>
      <c r="I110" s="25" t="s">
        <v>86</v>
      </c>
      <c r="J110" s="25" t="s">
        <v>26</v>
      </c>
      <c r="K110" s="25" t="s">
        <v>33</v>
      </c>
      <c r="L110" s="25" t="s">
        <v>52</v>
      </c>
      <c r="M110" s="25" t="s">
        <v>27</v>
      </c>
      <c r="N110" s="25">
        <v>0</v>
      </c>
      <c r="O110" s="25">
        <v>0</v>
      </c>
      <c r="P110" s="25"/>
      <c r="Q110" s="23" t="s">
        <v>28</v>
      </c>
      <c r="R110" s="23">
        <v>1</v>
      </c>
      <c r="S110" s="22">
        <v>15738837.4</v>
      </c>
      <c r="T110" s="22">
        <v>19225480</v>
      </c>
      <c r="U110" s="26" t="s">
        <v>190</v>
      </c>
    </row>
    <row r="111" spans="1:21" s="24" customFormat="1" ht="267.75" customHeight="1" x14ac:dyDescent="0.25">
      <c r="A111" s="23">
        <v>108</v>
      </c>
      <c r="B111" s="23">
        <v>2319212</v>
      </c>
      <c r="C111" s="23" t="s">
        <v>188</v>
      </c>
      <c r="D111" s="23">
        <v>2025</v>
      </c>
      <c r="E111" s="23" t="s">
        <v>101</v>
      </c>
      <c r="F111" s="25" t="s">
        <v>65</v>
      </c>
      <c r="G111" s="25" t="s">
        <v>25</v>
      </c>
      <c r="H111" s="25" t="s">
        <v>26</v>
      </c>
      <c r="I111" s="25" t="s">
        <v>27</v>
      </c>
      <c r="J111" s="25">
        <v>0</v>
      </c>
      <c r="K111" s="25">
        <v>0</v>
      </c>
      <c r="L111" s="25">
        <v>0</v>
      </c>
      <c r="M111" s="25">
        <v>0</v>
      </c>
      <c r="N111" s="25">
        <v>0</v>
      </c>
      <c r="O111" s="25">
        <v>0</v>
      </c>
      <c r="P111" s="25"/>
      <c r="Q111" s="23" t="s">
        <v>28</v>
      </c>
      <c r="R111" s="23">
        <v>3</v>
      </c>
      <c r="S111" s="22">
        <v>12418853.99</v>
      </c>
      <c r="T111" s="22">
        <v>17884831</v>
      </c>
      <c r="U111" s="26" t="s">
        <v>191</v>
      </c>
    </row>
    <row r="112" spans="1:21" s="24" customFormat="1" ht="178.5" customHeight="1" x14ac:dyDescent="0.25">
      <c r="A112" s="23">
        <v>109</v>
      </c>
      <c r="B112" s="23">
        <v>2247135</v>
      </c>
      <c r="C112" s="23" t="s">
        <v>43</v>
      </c>
      <c r="D112" s="23">
        <v>2025</v>
      </c>
      <c r="E112" s="23" t="s">
        <v>36</v>
      </c>
      <c r="F112" s="25" t="s">
        <v>49</v>
      </c>
      <c r="G112" s="25" t="s">
        <v>24</v>
      </c>
      <c r="H112" s="25" t="s">
        <v>25</v>
      </c>
      <c r="I112" s="25" t="s">
        <v>26</v>
      </c>
      <c r="J112" s="25" t="s">
        <v>27</v>
      </c>
      <c r="K112" s="25">
        <v>0</v>
      </c>
      <c r="L112" s="25">
        <v>0</v>
      </c>
      <c r="M112" s="25">
        <v>0</v>
      </c>
      <c r="N112" s="25">
        <v>0</v>
      </c>
      <c r="O112" s="25">
        <v>0</v>
      </c>
      <c r="P112" s="25"/>
      <c r="Q112" s="23" t="s">
        <v>28</v>
      </c>
      <c r="R112" s="23">
        <v>1</v>
      </c>
      <c r="S112" s="22">
        <v>5950534.3499999996</v>
      </c>
      <c r="T112" s="22">
        <v>6832201</v>
      </c>
      <c r="U112" s="26" t="s">
        <v>192</v>
      </c>
    </row>
    <row r="113" spans="1:21" s="24" customFormat="1" ht="229.5" customHeight="1" x14ac:dyDescent="0.25">
      <c r="A113" s="23">
        <v>110</v>
      </c>
      <c r="B113" s="23">
        <v>2337979</v>
      </c>
      <c r="C113" s="23" t="s">
        <v>188</v>
      </c>
      <c r="D113" s="23">
        <v>2025</v>
      </c>
      <c r="E113" s="23" t="s">
        <v>60</v>
      </c>
      <c r="F113" s="25" t="s">
        <v>50</v>
      </c>
      <c r="G113" s="25" t="s">
        <v>25</v>
      </c>
      <c r="H113" s="25" t="s">
        <v>32</v>
      </c>
      <c r="I113" s="25" t="s">
        <v>33</v>
      </c>
      <c r="J113" s="25" t="s">
        <v>27</v>
      </c>
      <c r="K113" s="25">
        <v>0</v>
      </c>
      <c r="L113" s="25">
        <v>0</v>
      </c>
      <c r="M113" s="25">
        <v>0</v>
      </c>
      <c r="N113" s="25">
        <v>0</v>
      </c>
      <c r="O113" s="25">
        <v>0</v>
      </c>
      <c r="P113" s="25"/>
      <c r="Q113" s="23" t="s">
        <v>28</v>
      </c>
      <c r="R113" s="23">
        <v>1</v>
      </c>
      <c r="S113" s="22">
        <v>3338424.84</v>
      </c>
      <c r="T113" s="22">
        <v>6903688</v>
      </c>
      <c r="U113" s="26" t="s">
        <v>193</v>
      </c>
    </row>
    <row r="114" spans="1:21" s="24" customFormat="1" ht="255" customHeight="1" x14ac:dyDescent="0.25">
      <c r="A114" s="23">
        <v>111</v>
      </c>
      <c r="B114" s="23">
        <v>2308319</v>
      </c>
      <c r="C114" s="23" t="s">
        <v>188</v>
      </c>
      <c r="D114" s="23">
        <v>2025</v>
      </c>
      <c r="E114" s="23" t="s">
        <v>60</v>
      </c>
      <c r="F114" s="25" t="s">
        <v>65</v>
      </c>
      <c r="G114" s="25" t="s">
        <v>25</v>
      </c>
      <c r="H114" s="25" t="s">
        <v>86</v>
      </c>
      <c r="I114" s="25" t="s">
        <v>26</v>
      </c>
      <c r="J114" s="25" t="s">
        <v>27</v>
      </c>
      <c r="K114" s="25">
        <v>0</v>
      </c>
      <c r="L114" s="25">
        <v>0</v>
      </c>
      <c r="M114" s="25">
        <v>0</v>
      </c>
      <c r="N114" s="25">
        <v>0</v>
      </c>
      <c r="O114" s="25">
        <v>0</v>
      </c>
      <c r="P114" s="25"/>
      <c r="Q114" s="23" t="s">
        <v>28</v>
      </c>
      <c r="R114" s="23">
        <v>2</v>
      </c>
      <c r="S114" s="22">
        <v>10861645.25</v>
      </c>
      <c r="T114" s="22">
        <v>16385132</v>
      </c>
      <c r="U114" s="26" t="s">
        <v>194</v>
      </c>
    </row>
    <row r="115" spans="1:21" s="24" customFormat="1" ht="255" customHeight="1" x14ac:dyDescent="0.25">
      <c r="A115" s="23">
        <v>112</v>
      </c>
      <c r="B115" s="23">
        <v>2281333</v>
      </c>
      <c r="C115" s="23" t="s">
        <v>188</v>
      </c>
      <c r="D115" s="23">
        <v>2025</v>
      </c>
      <c r="E115" s="23" t="s">
        <v>60</v>
      </c>
      <c r="F115" s="25" t="s">
        <v>65</v>
      </c>
      <c r="G115" s="25" t="s">
        <v>25</v>
      </c>
      <c r="H115" s="25" t="s">
        <v>33</v>
      </c>
      <c r="I115" s="25" t="s">
        <v>27</v>
      </c>
      <c r="J115" s="25">
        <v>0</v>
      </c>
      <c r="K115" s="25">
        <v>0</v>
      </c>
      <c r="L115" s="25">
        <v>0</v>
      </c>
      <c r="M115" s="25">
        <v>0</v>
      </c>
      <c r="N115" s="25">
        <v>0</v>
      </c>
      <c r="O115" s="25">
        <v>0</v>
      </c>
      <c r="P115" s="25"/>
      <c r="Q115" s="23" t="s">
        <v>28</v>
      </c>
      <c r="R115" s="23">
        <v>2</v>
      </c>
      <c r="S115" s="22">
        <v>10089846.59</v>
      </c>
      <c r="T115" s="22">
        <v>14724017</v>
      </c>
      <c r="U115" s="26" t="s">
        <v>195</v>
      </c>
    </row>
    <row r="116" spans="1:21" s="24" customFormat="1" ht="242.25" customHeight="1" x14ac:dyDescent="0.25">
      <c r="A116" s="23">
        <v>113</v>
      </c>
      <c r="B116" s="23">
        <v>2379145</v>
      </c>
      <c r="C116" s="23" t="s">
        <v>188</v>
      </c>
      <c r="D116" s="23">
        <v>2025</v>
      </c>
      <c r="E116" s="23" t="s">
        <v>60</v>
      </c>
      <c r="F116" s="25" t="s">
        <v>65</v>
      </c>
      <c r="G116" s="25" t="s">
        <v>25</v>
      </c>
      <c r="H116" s="25" t="s">
        <v>32</v>
      </c>
      <c r="I116" s="25" t="s">
        <v>33</v>
      </c>
      <c r="J116" s="25" t="s">
        <v>27</v>
      </c>
      <c r="K116" s="25">
        <v>0</v>
      </c>
      <c r="L116" s="25">
        <v>0</v>
      </c>
      <c r="M116" s="25">
        <v>0</v>
      </c>
      <c r="N116" s="25">
        <v>0</v>
      </c>
      <c r="O116" s="25">
        <v>0</v>
      </c>
      <c r="P116" s="25"/>
      <c r="Q116" s="23" t="s">
        <v>28</v>
      </c>
      <c r="R116" s="23">
        <v>1</v>
      </c>
      <c r="S116" s="22">
        <v>7518516.8399999999</v>
      </c>
      <c r="T116" s="22">
        <v>10277716</v>
      </c>
      <c r="U116" s="26" t="s">
        <v>196</v>
      </c>
    </row>
    <row r="117" spans="1:21" s="24" customFormat="1" ht="409.5" customHeight="1" x14ac:dyDescent="0.25">
      <c r="A117" s="23">
        <v>114</v>
      </c>
      <c r="B117" s="23">
        <v>2225135</v>
      </c>
      <c r="C117" s="23">
        <v>2021</v>
      </c>
      <c r="D117" s="23">
        <v>2025</v>
      </c>
      <c r="E117" s="23" t="s">
        <v>197</v>
      </c>
      <c r="F117" s="25" t="s">
        <v>32</v>
      </c>
      <c r="G117" s="25" t="s">
        <v>86</v>
      </c>
      <c r="H117" s="25" t="s">
        <v>26</v>
      </c>
      <c r="I117" s="25" t="s">
        <v>27</v>
      </c>
      <c r="J117" s="25">
        <v>0</v>
      </c>
      <c r="K117" s="25">
        <v>0</v>
      </c>
      <c r="L117" s="25">
        <v>0</v>
      </c>
      <c r="M117" s="25">
        <v>0</v>
      </c>
      <c r="N117" s="25">
        <v>0</v>
      </c>
      <c r="O117" s="25">
        <v>0</v>
      </c>
      <c r="P117" s="25"/>
      <c r="Q117" s="23" t="s">
        <v>41</v>
      </c>
      <c r="R117" s="23">
        <v>1</v>
      </c>
      <c r="S117" s="22">
        <v>9776417.8599999994</v>
      </c>
      <c r="T117" s="22">
        <v>10508024</v>
      </c>
      <c r="U117" s="26" t="s">
        <v>198</v>
      </c>
    </row>
    <row r="118" spans="1:21" s="24" customFormat="1" ht="255" customHeight="1" x14ac:dyDescent="0.25">
      <c r="A118" s="23">
        <v>115</v>
      </c>
      <c r="B118" s="23">
        <v>2273315</v>
      </c>
      <c r="C118" s="23" t="s">
        <v>43</v>
      </c>
      <c r="D118" s="23">
        <v>2025</v>
      </c>
      <c r="E118" s="23" t="s">
        <v>36</v>
      </c>
      <c r="F118" s="25" t="s">
        <v>23</v>
      </c>
      <c r="G118" s="25" t="s">
        <v>24</v>
      </c>
      <c r="H118" s="25" t="s">
        <v>25</v>
      </c>
      <c r="I118" s="25" t="s">
        <v>26</v>
      </c>
      <c r="J118" s="25" t="s">
        <v>27</v>
      </c>
      <c r="K118" s="25">
        <v>0</v>
      </c>
      <c r="L118" s="25">
        <v>0</v>
      </c>
      <c r="M118" s="25">
        <v>0</v>
      </c>
      <c r="N118" s="25">
        <v>0</v>
      </c>
      <c r="O118" s="25">
        <v>0</v>
      </c>
      <c r="P118" s="25"/>
      <c r="Q118" s="23" t="s">
        <v>41</v>
      </c>
      <c r="R118" s="23">
        <v>1</v>
      </c>
      <c r="S118" s="22">
        <v>2639421.4300000002</v>
      </c>
      <c r="T118" s="22">
        <v>2773834</v>
      </c>
      <c r="U118" s="26" t="s">
        <v>199</v>
      </c>
    </row>
    <row r="119" spans="1:21" s="24" customFormat="1" ht="395.25" customHeight="1" x14ac:dyDescent="0.25">
      <c r="A119" s="23">
        <v>116</v>
      </c>
      <c r="B119" s="23">
        <v>2236066</v>
      </c>
      <c r="C119" s="23">
        <v>2021</v>
      </c>
      <c r="D119" s="23">
        <v>2025</v>
      </c>
      <c r="E119" s="23" t="s">
        <v>70</v>
      </c>
      <c r="F119" s="25" t="s">
        <v>71</v>
      </c>
      <c r="G119" s="25" t="s">
        <v>72</v>
      </c>
      <c r="H119" s="25" t="s">
        <v>33</v>
      </c>
      <c r="I119" s="25" t="s">
        <v>27</v>
      </c>
      <c r="J119" s="25">
        <v>0</v>
      </c>
      <c r="K119" s="25">
        <v>0</v>
      </c>
      <c r="L119" s="25">
        <v>0</v>
      </c>
      <c r="M119" s="25">
        <v>0</v>
      </c>
      <c r="N119" s="25">
        <v>0</v>
      </c>
      <c r="O119" s="25">
        <v>0</v>
      </c>
      <c r="P119" s="25"/>
      <c r="Q119" s="23" t="s">
        <v>28</v>
      </c>
      <c r="R119" s="23">
        <v>1</v>
      </c>
      <c r="S119" s="22">
        <v>14377899.58</v>
      </c>
      <c r="T119" s="22">
        <v>14364098</v>
      </c>
      <c r="U119" s="26" t="s">
        <v>200</v>
      </c>
    </row>
    <row r="120" spans="1:21" s="24" customFormat="1" ht="409.5" customHeight="1" x14ac:dyDescent="0.25">
      <c r="A120" s="23">
        <v>117</v>
      </c>
      <c r="B120" s="23">
        <v>2283977</v>
      </c>
      <c r="C120" s="23">
        <v>2021</v>
      </c>
      <c r="D120" s="23">
        <v>2025</v>
      </c>
      <c r="E120" s="23" t="s">
        <v>70</v>
      </c>
      <c r="F120" s="25" t="s">
        <v>75</v>
      </c>
      <c r="G120" s="25" t="s">
        <v>26</v>
      </c>
      <c r="H120" s="25" t="s">
        <v>27</v>
      </c>
      <c r="I120" s="25">
        <v>0</v>
      </c>
      <c r="J120" s="25">
        <v>0</v>
      </c>
      <c r="K120" s="25">
        <v>0</v>
      </c>
      <c r="L120" s="25">
        <v>0</v>
      </c>
      <c r="M120" s="25">
        <v>0</v>
      </c>
      <c r="N120" s="25">
        <v>0</v>
      </c>
      <c r="O120" s="25">
        <v>0</v>
      </c>
      <c r="P120" s="25"/>
      <c r="Q120" s="23" t="s">
        <v>67</v>
      </c>
      <c r="R120" s="23">
        <v>2</v>
      </c>
      <c r="S120" s="22">
        <v>14270615.35</v>
      </c>
      <c r="T120" s="22">
        <v>15429745</v>
      </c>
      <c r="U120" s="26" t="s">
        <v>201</v>
      </c>
    </row>
    <row r="121" spans="1:21" s="24" customFormat="1" ht="369.75" customHeight="1" x14ac:dyDescent="0.25">
      <c r="A121" s="23">
        <v>118</v>
      </c>
      <c r="B121" s="23">
        <v>2300910</v>
      </c>
      <c r="C121" s="23">
        <v>2021</v>
      </c>
      <c r="D121" s="23">
        <v>2025</v>
      </c>
      <c r="E121" s="23" t="s">
        <v>70</v>
      </c>
      <c r="F121" s="25" t="s">
        <v>75</v>
      </c>
      <c r="G121" s="25" t="s">
        <v>26</v>
      </c>
      <c r="H121" s="25" t="s">
        <v>72</v>
      </c>
      <c r="I121" s="25" t="s">
        <v>33</v>
      </c>
      <c r="J121" s="25" t="s">
        <v>27</v>
      </c>
      <c r="K121" s="25">
        <v>0</v>
      </c>
      <c r="L121" s="25">
        <v>0</v>
      </c>
      <c r="M121" s="25">
        <v>0</v>
      </c>
      <c r="N121" s="25">
        <v>0</v>
      </c>
      <c r="O121" s="25">
        <v>0</v>
      </c>
      <c r="P121" s="25"/>
      <c r="Q121" s="23" t="s">
        <v>28</v>
      </c>
      <c r="R121" s="23">
        <v>1</v>
      </c>
      <c r="S121" s="22">
        <v>23568973.620000001</v>
      </c>
      <c r="T121" s="22">
        <v>24020991</v>
      </c>
      <c r="U121" s="26" t="s">
        <v>202</v>
      </c>
    </row>
    <row r="122" spans="1:21" s="24" customFormat="1" ht="369.75" customHeight="1" x14ac:dyDescent="0.25">
      <c r="A122" s="23">
        <v>119</v>
      </c>
      <c r="B122" s="23">
        <v>2444977</v>
      </c>
      <c r="C122" s="23">
        <v>2021</v>
      </c>
      <c r="D122" s="23">
        <v>2025</v>
      </c>
      <c r="E122" s="23" t="s">
        <v>25</v>
      </c>
      <c r="F122" s="25" t="s">
        <v>70</v>
      </c>
      <c r="G122" s="25" t="s">
        <v>71</v>
      </c>
      <c r="H122" s="25" t="s">
        <v>72</v>
      </c>
      <c r="I122" s="25" t="s">
        <v>33</v>
      </c>
      <c r="J122" s="25" t="s">
        <v>52</v>
      </c>
      <c r="K122" s="25" t="s">
        <v>27</v>
      </c>
      <c r="L122" s="25">
        <v>0</v>
      </c>
      <c r="M122" s="25">
        <v>0</v>
      </c>
      <c r="N122" s="25">
        <v>0</v>
      </c>
      <c r="O122" s="25">
        <v>0</v>
      </c>
      <c r="P122" s="25"/>
      <c r="Q122" s="23" t="s">
        <v>28</v>
      </c>
      <c r="R122" s="23">
        <v>4</v>
      </c>
      <c r="S122" s="22">
        <v>28475519.23</v>
      </c>
      <c r="T122" s="22">
        <v>29568633</v>
      </c>
      <c r="U122" s="26" t="s">
        <v>203</v>
      </c>
    </row>
    <row r="123" spans="1:21" s="24" customFormat="1" ht="409.5" customHeight="1" x14ac:dyDescent="0.25">
      <c r="A123" s="23">
        <v>120</v>
      </c>
      <c r="B123" s="23">
        <v>2047334</v>
      </c>
      <c r="C123" s="23">
        <v>2021</v>
      </c>
      <c r="D123" s="23">
        <v>2025</v>
      </c>
      <c r="E123" s="23" t="s">
        <v>70</v>
      </c>
      <c r="F123" s="25" t="s">
        <v>75</v>
      </c>
      <c r="G123" s="25" t="s">
        <v>26</v>
      </c>
      <c r="H123" s="25" t="s">
        <v>72</v>
      </c>
      <c r="I123" s="25" t="s">
        <v>27</v>
      </c>
      <c r="J123" s="25">
        <v>0</v>
      </c>
      <c r="K123" s="25">
        <v>0</v>
      </c>
      <c r="L123" s="25">
        <v>0</v>
      </c>
      <c r="M123" s="25">
        <v>0</v>
      </c>
      <c r="N123" s="25">
        <v>0</v>
      </c>
      <c r="O123" s="25">
        <v>0</v>
      </c>
      <c r="P123" s="25"/>
      <c r="Q123" s="23" t="s">
        <v>34</v>
      </c>
      <c r="R123" s="23">
        <v>1</v>
      </c>
      <c r="S123" s="22">
        <v>17177109.829999998</v>
      </c>
      <c r="T123" s="22">
        <v>18999664</v>
      </c>
      <c r="U123" s="26" t="s">
        <v>204</v>
      </c>
    </row>
    <row r="124" spans="1:21" s="24" customFormat="1" ht="409.5" customHeight="1" x14ac:dyDescent="0.25">
      <c r="A124" s="23">
        <v>121</v>
      </c>
      <c r="B124" s="23">
        <v>2293263</v>
      </c>
      <c r="C124" s="23">
        <v>2021</v>
      </c>
      <c r="D124" s="23">
        <v>2025</v>
      </c>
      <c r="E124" s="23" t="s">
        <v>70</v>
      </c>
      <c r="F124" s="25" t="s">
        <v>75</v>
      </c>
      <c r="G124" s="25" t="s">
        <v>27</v>
      </c>
      <c r="H124" s="25">
        <v>0</v>
      </c>
      <c r="I124" s="25">
        <v>0</v>
      </c>
      <c r="J124" s="25">
        <v>0</v>
      </c>
      <c r="K124" s="25">
        <v>0</v>
      </c>
      <c r="L124" s="25">
        <v>0</v>
      </c>
      <c r="M124" s="25">
        <v>0</v>
      </c>
      <c r="N124" s="25">
        <v>0</v>
      </c>
      <c r="O124" s="25">
        <v>0</v>
      </c>
      <c r="P124" s="25"/>
      <c r="Q124" s="23" t="s">
        <v>28</v>
      </c>
      <c r="R124" s="23">
        <v>1</v>
      </c>
      <c r="S124" s="22">
        <v>11152254.279999999</v>
      </c>
      <c r="T124" s="22">
        <v>11027182</v>
      </c>
      <c r="U124" s="26" t="s">
        <v>205</v>
      </c>
    </row>
    <row r="125" spans="1:21" s="24" customFormat="1" ht="409.5" customHeight="1" x14ac:dyDescent="0.25">
      <c r="A125" s="23">
        <v>122</v>
      </c>
      <c r="B125" s="23">
        <v>2242504</v>
      </c>
      <c r="C125" s="23">
        <v>2021</v>
      </c>
      <c r="D125" s="23">
        <v>2025</v>
      </c>
      <c r="E125" s="23" t="s">
        <v>70</v>
      </c>
      <c r="F125" s="25" t="s">
        <v>71</v>
      </c>
      <c r="G125" s="25" t="s">
        <v>72</v>
      </c>
      <c r="H125" s="25" t="s">
        <v>33</v>
      </c>
      <c r="I125" s="25" t="s">
        <v>27</v>
      </c>
      <c r="J125" s="25">
        <v>0</v>
      </c>
      <c r="K125" s="25">
        <v>0</v>
      </c>
      <c r="L125" s="25">
        <v>0</v>
      </c>
      <c r="M125" s="25">
        <v>0</v>
      </c>
      <c r="N125" s="25">
        <v>0</v>
      </c>
      <c r="O125" s="25">
        <v>0</v>
      </c>
      <c r="P125" s="25"/>
      <c r="Q125" s="23" t="s">
        <v>41</v>
      </c>
      <c r="R125" s="23">
        <v>1</v>
      </c>
      <c r="S125" s="22">
        <v>11478037.01</v>
      </c>
      <c r="T125" s="22">
        <v>11383929</v>
      </c>
      <c r="U125" s="26" t="s">
        <v>206</v>
      </c>
    </row>
    <row r="126" spans="1:21" s="24" customFormat="1" ht="409.5" customHeight="1" x14ac:dyDescent="0.25">
      <c r="A126" s="23">
        <v>123</v>
      </c>
      <c r="B126" s="23">
        <v>2311612</v>
      </c>
      <c r="C126" s="23">
        <v>2021</v>
      </c>
      <c r="D126" s="23">
        <v>2025</v>
      </c>
      <c r="E126" s="23" t="s">
        <v>70</v>
      </c>
      <c r="F126" s="25" t="s">
        <v>75</v>
      </c>
      <c r="G126" s="25" t="s">
        <v>33</v>
      </c>
      <c r="H126" s="25" t="s">
        <v>52</v>
      </c>
      <c r="I126" s="25" t="s">
        <v>27</v>
      </c>
      <c r="J126" s="25">
        <v>0</v>
      </c>
      <c r="K126" s="25">
        <v>0</v>
      </c>
      <c r="L126" s="25">
        <v>0</v>
      </c>
      <c r="M126" s="25">
        <v>0</v>
      </c>
      <c r="N126" s="25">
        <v>0</v>
      </c>
      <c r="O126" s="25">
        <v>0</v>
      </c>
      <c r="P126" s="25"/>
      <c r="Q126" s="23" t="s">
        <v>28</v>
      </c>
      <c r="R126" s="23">
        <v>1</v>
      </c>
      <c r="S126" s="22">
        <v>15736787.74</v>
      </c>
      <c r="T126" s="22">
        <v>17143801</v>
      </c>
      <c r="U126" s="26" t="s">
        <v>207</v>
      </c>
    </row>
    <row r="127" spans="1:21" s="24" customFormat="1" ht="357" customHeight="1" x14ac:dyDescent="0.25">
      <c r="A127" s="23">
        <v>124</v>
      </c>
      <c r="B127" s="23">
        <v>2411017</v>
      </c>
      <c r="C127" s="23">
        <v>2021</v>
      </c>
      <c r="D127" s="23">
        <v>2025</v>
      </c>
      <c r="E127" s="23" t="s">
        <v>70</v>
      </c>
      <c r="F127" s="25" t="s">
        <v>75</v>
      </c>
      <c r="G127" s="25" t="s">
        <v>26</v>
      </c>
      <c r="H127" s="25" t="s">
        <v>33</v>
      </c>
      <c r="I127" s="25" t="s">
        <v>27</v>
      </c>
      <c r="J127" s="25">
        <v>0</v>
      </c>
      <c r="K127" s="25">
        <v>0</v>
      </c>
      <c r="L127" s="25">
        <v>0</v>
      </c>
      <c r="M127" s="25">
        <v>0</v>
      </c>
      <c r="N127" s="25">
        <v>0</v>
      </c>
      <c r="O127" s="25">
        <v>0</v>
      </c>
      <c r="P127" s="25"/>
      <c r="Q127" s="23" t="s">
        <v>41</v>
      </c>
      <c r="R127" s="23">
        <v>1</v>
      </c>
      <c r="S127" s="22">
        <v>16023286.77</v>
      </c>
      <c r="T127" s="22">
        <v>15154174</v>
      </c>
      <c r="U127" s="26" t="s">
        <v>208</v>
      </c>
    </row>
    <row r="128" spans="1:21" s="24" customFormat="1" ht="267.75" customHeight="1" x14ac:dyDescent="0.25">
      <c r="A128" s="23">
        <v>125</v>
      </c>
      <c r="B128" s="23">
        <v>2327906</v>
      </c>
      <c r="C128" s="23">
        <v>2021</v>
      </c>
      <c r="D128" s="23">
        <v>2025</v>
      </c>
      <c r="E128" s="23" t="s">
        <v>74</v>
      </c>
      <c r="F128" s="25" t="s">
        <v>32</v>
      </c>
      <c r="G128" s="25" t="s">
        <v>71</v>
      </c>
      <c r="H128" s="25" t="s">
        <v>26</v>
      </c>
      <c r="I128" s="25" t="s">
        <v>72</v>
      </c>
      <c r="J128" s="25" t="s">
        <v>33</v>
      </c>
      <c r="K128" s="25" t="s">
        <v>52</v>
      </c>
      <c r="L128" s="25" t="s">
        <v>27</v>
      </c>
      <c r="M128" s="25" t="s">
        <v>209</v>
      </c>
      <c r="N128" s="25">
        <v>0</v>
      </c>
      <c r="O128" s="25">
        <v>0</v>
      </c>
      <c r="P128" s="25"/>
      <c r="Q128" s="23" t="s">
        <v>28</v>
      </c>
      <c r="R128" s="23">
        <v>3</v>
      </c>
      <c r="S128" s="22">
        <v>32065132.75</v>
      </c>
      <c r="T128" s="22">
        <v>32591409</v>
      </c>
      <c r="U128" s="26" t="s">
        <v>210</v>
      </c>
    </row>
    <row r="129" spans="1:21" s="24" customFormat="1" ht="409.5" customHeight="1" x14ac:dyDescent="0.25">
      <c r="A129" s="23">
        <v>126</v>
      </c>
      <c r="B129" s="23">
        <v>2451944</v>
      </c>
      <c r="C129" s="23">
        <v>2022</v>
      </c>
      <c r="D129" s="23">
        <v>2025</v>
      </c>
      <c r="E129" s="23" t="s">
        <v>78</v>
      </c>
      <c r="F129" s="25" t="s">
        <v>26</v>
      </c>
      <c r="G129" s="25" t="s">
        <v>72</v>
      </c>
      <c r="H129" s="25" t="s">
        <v>33</v>
      </c>
      <c r="I129" s="25" t="s">
        <v>27</v>
      </c>
      <c r="J129" s="25">
        <v>0</v>
      </c>
      <c r="K129" s="25">
        <v>0</v>
      </c>
      <c r="L129" s="25">
        <v>0</v>
      </c>
      <c r="M129" s="25">
        <v>0</v>
      </c>
      <c r="N129" s="25">
        <v>0</v>
      </c>
      <c r="O129" s="25">
        <v>0</v>
      </c>
      <c r="P129" s="25"/>
      <c r="Q129" s="23" t="s">
        <v>41</v>
      </c>
      <c r="R129" s="23">
        <v>1</v>
      </c>
      <c r="S129" s="22">
        <v>17563441.18</v>
      </c>
      <c r="T129" s="22">
        <v>19699825</v>
      </c>
      <c r="U129" s="26" t="s">
        <v>211</v>
      </c>
    </row>
    <row r="130" spans="1:21" s="24" customFormat="1" ht="357" customHeight="1" x14ac:dyDescent="0.25">
      <c r="A130" s="23">
        <v>127</v>
      </c>
      <c r="B130" s="23">
        <v>2489131</v>
      </c>
      <c r="C130" s="23">
        <v>2022</v>
      </c>
      <c r="D130" s="23">
        <v>2025</v>
      </c>
      <c r="E130" s="23" t="s">
        <v>78</v>
      </c>
      <c r="F130" s="25" t="s">
        <v>26</v>
      </c>
      <c r="G130" s="25" t="s">
        <v>33</v>
      </c>
      <c r="H130" s="25" t="s">
        <v>52</v>
      </c>
      <c r="I130" s="25" t="s">
        <v>27</v>
      </c>
      <c r="J130" s="25">
        <v>0</v>
      </c>
      <c r="K130" s="25">
        <v>0</v>
      </c>
      <c r="L130" s="25">
        <v>0</v>
      </c>
      <c r="M130" s="25">
        <v>0</v>
      </c>
      <c r="N130" s="25">
        <v>0</v>
      </c>
      <c r="O130" s="25">
        <v>0</v>
      </c>
      <c r="P130" s="25"/>
      <c r="Q130" s="23" t="s">
        <v>28</v>
      </c>
      <c r="R130" s="23">
        <v>1</v>
      </c>
      <c r="S130" s="22">
        <v>9853574.8000000007</v>
      </c>
      <c r="T130" s="22">
        <v>10667636</v>
      </c>
      <c r="U130" s="26" t="s">
        <v>212</v>
      </c>
    </row>
    <row r="131" spans="1:21" s="24" customFormat="1" ht="409.5" customHeight="1" x14ac:dyDescent="0.25">
      <c r="A131" s="23">
        <v>128</v>
      </c>
      <c r="B131" s="23">
        <v>2489130</v>
      </c>
      <c r="C131" s="23">
        <v>2022</v>
      </c>
      <c r="D131" s="23">
        <v>2026</v>
      </c>
      <c r="E131" s="23" t="s">
        <v>78</v>
      </c>
      <c r="F131" s="25" t="s">
        <v>26</v>
      </c>
      <c r="G131" s="25" t="s">
        <v>72</v>
      </c>
      <c r="H131" s="25" t="s">
        <v>27</v>
      </c>
      <c r="I131" s="25" t="s">
        <v>40</v>
      </c>
      <c r="J131" s="25">
        <v>0</v>
      </c>
      <c r="K131" s="25">
        <v>0</v>
      </c>
      <c r="L131" s="25">
        <v>0</v>
      </c>
      <c r="M131" s="25">
        <v>0</v>
      </c>
      <c r="N131" s="25">
        <v>0</v>
      </c>
      <c r="O131" s="25">
        <v>0</v>
      </c>
      <c r="P131" s="25"/>
      <c r="Q131" s="23" t="s">
        <v>56</v>
      </c>
      <c r="R131" s="23">
        <v>1</v>
      </c>
      <c r="S131" s="22">
        <v>4486492.18</v>
      </c>
      <c r="T131" s="22">
        <v>9136804</v>
      </c>
      <c r="U131" s="26" t="s">
        <v>213</v>
      </c>
    </row>
    <row r="132" spans="1:21" s="24" customFormat="1" ht="409.5" customHeight="1" x14ac:dyDescent="0.25">
      <c r="A132" s="23">
        <v>129</v>
      </c>
      <c r="B132" s="23">
        <v>2463826</v>
      </c>
      <c r="C132" s="23">
        <v>2022</v>
      </c>
      <c r="D132" s="23">
        <v>2025</v>
      </c>
      <c r="E132" s="23" t="s">
        <v>78</v>
      </c>
      <c r="F132" s="25" t="s">
        <v>26</v>
      </c>
      <c r="G132" s="25" t="s">
        <v>33</v>
      </c>
      <c r="H132" s="25" t="s">
        <v>52</v>
      </c>
      <c r="I132" s="25" t="s">
        <v>27</v>
      </c>
      <c r="J132" s="25">
        <v>0</v>
      </c>
      <c r="K132" s="25">
        <v>0</v>
      </c>
      <c r="L132" s="25">
        <v>0</v>
      </c>
      <c r="M132" s="25">
        <v>0</v>
      </c>
      <c r="N132" s="25">
        <v>0</v>
      </c>
      <c r="O132" s="25">
        <v>0</v>
      </c>
      <c r="P132" s="25"/>
      <c r="Q132" s="23" t="s">
        <v>41</v>
      </c>
      <c r="R132" s="23">
        <v>1</v>
      </c>
      <c r="S132" s="22">
        <v>12365088.689999999</v>
      </c>
      <c r="T132" s="22">
        <v>16947953</v>
      </c>
      <c r="U132" s="26" t="s">
        <v>214</v>
      </c>
    </row>
    <row r="133" spans="1:21" s="24" customFormat="1" ht="409.5" customHeight="1" x14ac:dyDescent="0.25">
      <c r="A133" s="23">
        <v>130</v>
      </c>
      <c r="B133" s="23">
        <v>2343012</v>
      </c>
      <c r="C133" s="23">
        <v>2022</v>
      </c>
      <c r="D133" s="23">
        <v>2025</v>
      </c>
      <c r="E133" s="23" t="s">
        <v>78</v>
      </c>
      <c r="F133" s="25" t="s">
        <v>26</v>
      </c>
      <c r="G133" s="25" t="s">
        <v>72</v>
      </c>
      <c r="H133" s="25" t="s">
        <v>52</v>
      </c>
      <c r="I133" s="25" t="s">
        <v>27</v>
      </c>
      <c r="J133" s="25">
        <v>0</v>
      </c>
      <c r="K133" s="25">
        <v>0</v>
      </c>
      <c r="L133" s="25">
        <v>0</v>
      </c>
      <c r="M133" s="25">
        <v>0</v>
      </c>
      <c r="N133" s="25">
        <v>0</v>
      </c>
      <c r="O133" s="25">
        <v>0</v>
      </c>
      <c r="P133" s="25"/>
      <c r="Q133" s="23" t="s">
        <v>81</v>
      </c>
      <c r="R133" s="23">
        <v>1</v>
      </c>
      <c r="S133" s="22">
        <v>14815231.17</v>
      </c>
      <c r="T133" s="22">
        <v>32624268</v>
      </c>
      <c r="U133" s="26" t="s">
        <v>215</v>
      </c>
    </row>
    <row r="134" spans="1:21" s="24" customFormat="1" ht="357" customHeight="1" x14ac:dyDescent="0.25">
      <c r="A134" s="23">
        <v>131</v>
      </c>
      <c r="B134" s="23">
        <v>2335707</v>
      </c>
      <c r="C134" s="23">
        <v>2022</v>
      </c>
      <c r="D134" s="23">
        <v>2026</v>
      </c>
      <c r="E134" s="23" t="s">
        <v>78</v>
      </c>
      <c r="F134" s="25" t="s">
        <v>26</v>
      </c>
      <c r="G134" s="25" t="s">
        <v>72</v>
      </c>
      <c r="H134" s="25" t="s">
        <v>33</v>
      </c>
      <c r="I134" s="25" t="s">
        <v>27</v>
      </c>
      <c r="J134" s="25" t="s">
        <v>216</v>
      </c>
      <c r="K134" s="25" t="s">
        <v>40</v>
      </c>
      <c r="L134" s="25">
        <v>0</v>
      </c>
      <c r="M134" s="25">
        <v>0</v>
      </c>
      <c r="N134" s="25">
        <v>0</v>
      </c>
      <c r="O134" s="25">
        <v>0</v>
      </c>
      <c r="P134" s="25"/>
      <c r="Q134" s="23" t="s">
        <v>41</v>
      </c>
      <c r="R134" s="23">
        <v>1</v>
      </c>
      <c r="S134" s="22">
        <v>15607048.32</v>
      </c>
      <c r="T134" s="22">
        <v>19412804</v>
      </c>
      <c r="U134" s="26" t="s">
        <v>217</v>
      </c>
    </row>
    <row r="135" spans="1:21" s="24" customFormat="1" ht="409.5" customHeight="1" x14ac:dyDescent="0.25">
      <c r="A135" s="23">
        <v>132</v>
      </c>
      <c r="B135" s="23">
        <v>2507927</v>
      </c>
      <c r="C135" s="23">
        <v>2022</v>
      </c>
      <c r="D135" s="23">
        <v>2025</v>
      </c>
      <c r="E135" s="23" t="s">
        <v>78</v>
      </c>
      <c r="F135" s="25" t="s">
        <v>26</v>
      </c>
      <c r="G135" s="25" t="s">
        <v>33</v>
      </c>
      <c r="H135" s="25" t="s">
        <v>52</v>
      </c>
      <c r="I135" s="25" t="s">
        <v>27</v>
      </c>
      <c r="J135" s="25">
        <v>0</v>
      </c>
      <c r="K135" s="25">
        <v>0</v>
      </c>
      <c r="L135" s="25">
        <v>0</v>
      </c>
      <c r="M135" s="25">
        <v>0</v>
      </c>
      <c r="N135" s="25">
        <v>0</v>
      </c>
      <c r="O135" s="25">
        <v>0</v>
      </c>
      <c r="P135" s="25"/>
      <c r="Q135" s="23" t="s">
        <v>28</v>
      </c>
      <c r="R135" s="23">
        <v>4</v>
      </c>
      <c r="S135" s="22">
        <v>24174687.949999999</v>
      </c>
      <c r="T135" s="22">
        <v>26394771</v>
      </c>
      <c r="U135" s="26" t="s">
        <v>218</v>
      </c>
    </row>
    <row r="136" spans="1:21" s="24" customFormat="1" ht="369.75" customHeight="1" x14ac:dyDescent="0.25">
      <c r="A136" s="23">
        <v>133</v>
      </c>
      <c r="B136" s="23">
        <v>2491860</v>
      </c>
      <c r="C136" s="23">
        <v>2022</v>
      </c>
      <c r="D136" s="23">
        <v>2025</v>
      </c>
      <c r="E136" s="23" t="s">
        <v>78</v>
      </c>
      <c r="F136" s="25" t="s">
        <v>26</v>
      </c>
      <c r="G136" s="25" t="s">
        <v>33</v>
      </c>
      <c r="H136" s="25" t="s">
        <v>52</v>
      </c>
      <c r="I136" s="25" t="s">
        <v>27</v>
      </c>
      <c r="J136" s="25">
        <v>0</v>
      </c>
      <c r="K136" s="25">
        <v>0</v>
      </c>
      <c r="L136" s="25">
        <v>0</v>
      </c>
      <c r="M136" s="25">
        <v>0</v>
      </c>
      <c r="N136" s="25">
        <v>0</v>
      </c>
      <c r="O136" s="25">
        <v>0</v>
      </c>
      <c r="P136" s="25"/>
      <c r="Q136" s="23" t="s">
        <v>28</v>
      </c>
      <c r="R136" s="23">
        <v>3</v>
      </c>
      <c r="S136" s="22">
        <v>50304289.68</v>
      </c>
      <c r="T136" s="22">
        <v>62681471</v>
      </c>
      <c r="U136" s="26" t="s">
        <v>219</v>
      </c>
    </row>
    <row r="137" spans="1:21" s="24" customFormat="1" ht="178.5" customHeight="1" x14ac:dyDescent="0.25">
      <c r="A137" s="23">
        <v>134</v>
      </c>
      <c r="B137" s="23">
        <v>2417420</v>
      </c>
      <c r="C137" s="23">
        <v>2022</v>
      </c>
      <c r="D137" s="23">
        <v>2025</v>
      </c>
      <c r="E137" s="23" t="s">
        <v>78</v>
      </c>
      <c r="F137" s="25" t="s">
        <v>26</v>
      </c>
      <c r="G137" s="25" t="s">
        <v>72</v>
      </c>
      <c r="H137" s="25" t="s">
        <v>33</v>
      </c>
      <c r="I137" s="25" t="s">
        <v>52</v>
      </c>
      <c r="J137" s="25" t="s">
        <v>27</v>
      </c>
      <c r="K137" s="25">
        <v>0</v>
      </c>
      <c r="L137" s="25">
        <v>0</v>
      </c>
      <c r="M137" s="25">
        <v>0</v>
      </c>
      <c r="N137" s="25">
        <v>0</v>
      </c>
      <c r="O137" s="25">
        <v>0</v>
      </c>
      <c r="P137" s="25"/>
      <c r="Q137" s="23" t="s">
        <v>28</v>
      </c>
      <c r="R137" s="23">
        <v>1</v>
      </c>
      <c r="S137" s="22">
        <v>10425502.49</v>
      </c>
      <c r="T137" s="22">
        <v>10381505</v>
      </c>
      <c r="U137" s="26" t="s">
        <v>220</v>
      </c>
    </row>
    <row r="138" spans="1:21" s="24" customFormat="1" ht="51" customHeight="1" x14ac:dyDescent="0.25">
      <c r="A138" s="23">
        <v>135</v>
      </c>
      <c r="B138" s="23" t="s">
        <v>221</v>
      </c>
      <c r="C138" s="23">
        <v>2022</v>
      </c>
      <c r="D138" s="23">
        <v>2026</v>
      </c>
      <c r="E138" s="23" t="s">
        <v>78</v>
      </c>
      <c r="F138" s="25" t="s">
        <v>26</v>
      </c>
      <c r="G138" s="25" t="s">
        <v>33</v>
      </c>
      <c r="H138" s="25" t="s">
        <v>52</v>
      </c>
      <c r="I138" s="25" t="s">
        <v>27</v>
      </c>
      <c r="J138" s="25" t="s">
        <v>40</v>
      </c>
      <c r="K138" s="25">
        <v>0</v>
      </c>
      <c r="L138" s="25">
        <v>0</v>
      </c>
      <c r="M138" s="25">
        <v>0</v>
      </c>
      <c r="N138" s="25">
        <v>0</v>
      </c>
      <c r="O138" s="25">
        <v>0</v>
      </c>
      <c r="P138" s="25"/>
      <c r="Q138" s="23" t="s">
        <v>34</v>
      </c>
      <c r="R138" s="23">
        <v>1</v>
      </c>
      <c r="S138" s="22">
        <v>5770736.2300000004</v>
      </c>
      <c r="T138" s="22">
        <v>7322399</v>
      </c>
      <c r="U138" s="26" t="e">
        <v>#N/A</v>
      </c>
    </row>
    <row r="139" spans="1:21" s="24" customFormat="1" ht="216.75" customHeight="1" x14ac:dyDescent="0.25">
      <c r="A139" s="23">
        <v>136</v>
      </c>
      <c r="B139" s="23">
        <v>2209922</v>
      </c>
      <c r="C139" s="23">
        <v>2022</v>
      </c>
      <c r="D139" s="23">
        <v>2026</v>
      </c>
      <c r="E139" s="23" t="s">
        <v>78</v>
      </c>
      <c r="F139" s="25" t="s">
        <v>26</v>
      </c>
      <c r="G139" s="25" t="s">
        <v>33</v>
      </c>
      <c r="H139" s="25" t="s">
        <v>27</v>
      </c>
      <c r="I139" s="25" t="s">
        <v>40</v>
      </c>
      <c r="J139" s="25">
        <v>0</v>
      </c>
      <c r="K139" s="25">
        <v>0</v>
      </c>
      <c r="L139" s="25">
        <v>0</v>
      </c>
      <c r="M139" s="25">
        <v>0</v>
      </c>
      <c r="N139" s="25">
        <v>0</v>
      </c>
      <c r="O139" s="25">
        <v>0</v>
      </c>
      <c r="P139" s="25"/>
      <c r="Q139" s="23" t="s">
        <v>81</v>
      </c>
      <c r="R139" s="23">
        <v>1</v>
      </c>
      <c r="S139" s="22">
        <v>41196546.140000001</v>
      </c>
      <c r="T139" s="22">
        <v>52421906</v>
      </c>
      <c r="U139" s="26" t="s">
        <v>222</v>
      </c>
    </row>
    <row r="140" spans="1:21" s="24" customFormat="1" ht="51" customHeight="1" x14ac:dyDescent="0.25">
      <c r="A140" s="23">
        <v>137</v>
      </c>
      <c r="B140" s="23">
        <v>2249895</v>
      </c>
      <c r="C140" s="23">
        <v>2017</v>
      </c>
      <c r="D140" s="23">
        <v>2025</v>
      </c>
      <c r="E140" s="23" t="s">
        <v>36</v>
      </c>
      <c r="F140" s="25" t="s">
        <v>23</v>
      </c>
      <c r="G140" s="25" t="s">
        <v>26</v>
      </c>
      <c r="H140" s="25" t="s">
        <v>27</v>
      </c>
      <c r="I140" s="25">
        <v>0</v>
      </c>
      <c r="J140" s="25">
        <v>0</v>
      </c>
      <c r="K140" s="25">
        <v>0</v>
      </c>
      <c r="L140" s="25">
        <v>0</v>
      </c>
      <c r="M140" s="25">
        <v>0</v>
      </c>
      <c r="N140" s="25">
        <v>0</v>
      </c>
      <c r="O140" s="25">
        <v>0</v>
      </c>
      <c r="P140" s="25"/>
      <c r="Q140" s="23" t="s">
        <v>28</v>
      </c>
      <c r="R140" s="23">
        <v>4</v>
      </c>
      <c r="S140" s="22">
        <v>6019860.0800000001</v>
      </c>
      <c r="T140" s="22">
        <v>6006201</v>
      </c>
      <c r="U140" s="26" t="s">
        <v>223</v>
      </c>
    </row>
    <row r="141" spans="1:21" s="24" customFormat="1" ht="204" customHeight="1" x14ac:dyDescent="0.25">
      <c r="A141" s="23">
        <v>138</v>
      </c>
      <c r="B141" s="23">
        <v>2238398</v>
      </c>
      <c r="C141" s="23" t="s">
        <v>188</v>
      </c>
      <c r="D141" s="23">
        <v>2025</v>
      </c>
      <c r="E141" s="23" t="s">
        <v>60</v>
      </c>
      <c r="F141" s="25" t="s">
        <v>65</v>
      </c>
      <c r="G141" s="25" t="s">
        <v>25</v>
      </c>
      <c r="H141" s="25" t="s">
        <v>26</v>
      </c>
      <c r="I141" s="25" t="s">
        <v>33</v>
      </c>
      <c r="J141" s="25" t="s">
        <v>27</v>
      </c>
      <c r="K141" s="25">
        <v>0</v>
      </c>
      <c r="L141" s="25">
        <v>0</v>
      </c>
      <c r="M141" s="25">
        <v>0</v>
      </c>
      <c r="N141" s="25">
        <v>0</v>
      </c>
      <c r="O141" s="25">
        <v>0</v>
      </c>
      <c r="P141" s="25"/>
      <c r="Q141" s="23" t="s">
        <v>28</v>
      </c>
      <c r="R141" s="23">
        <v>1</v>
      </c>
      <c r="S141" s="22">
        <v>10819642.17</v>
      </c>
      <c r="T141" s="22">
        <v>15667862</v>
      </c>
      <c r="U141" s="26" t="s">
        <v>224</v>
      </c>
    </row>
    <row r="142" spans="1:21" s="24" customFormat="1" ht="382.5" customHeight="1" x14ac:dyDescent="0.25">
      <c r="A142" s="23">
        <v>139</v>
      </c>
      <c r="B142" s="23">
        <v>2225770</v>
      </c>
      <c r="C142" s="23">
        <v>2021</v>
      </c>
      <c r="D142" s="23">
        <v>2025</v>
      </c>
      <c r="E142" s="23" t="s">
        <v>225</v>
      </c>
      <c r="F142" s="25" t="s">
        <v>72</v>
      </c>
      <c r="G142" s="25" t="s">
        <v>33</v>
      </c>
      <c r="H142" s="25" t="s">
        <v>27</v>
      </c>
      <c r="I142" s="25">
        <v>0</v>
      </c>
      <c r="J142" s="25">
        <v>0</v>
      </c>
      <c r="K142" s="25">
        <v>0</v>
      </c>
      <c r="L142" s="25">
        <v>0</v>
      </c>
      <c r="M142" s="25">
        <v>0</v>
      </c>
      <c r="N142" s="25">
        <v>0</v>
      </c>
      <c r="O142" s="25">
        <v>0</v>
      </c>
      <c r="P142" s="25"/>
      <c r="Q142" s="23" t="s">
        <v>41</v>
      </c>
      <c r="R142" s="23">
        <v>1</v>
      </c>
      <c r="S142" s="22">
        <v>14575942.550000001</v>
      </c>
      <c r="T142" s="22">
        <v>16280422</v>
      </c>
      <c r="U142" s="26" t="s">
        <v>226</v>
      </c>
    </row>
    <row r="143" spans="1:21" s="24" customFormat="1" ht="153" customHeight="1" x14ac:dyDescent="0.25">
      <c r="A143" s="23">
        <v>140</v>
      </c>
      <c r="B143" s="23">
        <v>2452838</v>
      </c>
      <c r="C143" s="23">
        <v>2022</v>
      </c>
      <c r="D143" s="23">
        <v>2025</v>
      </c>
      <c r="E143" s="23" t="s">
        <v>78</v>
      </c>
      <c r="F143" s="25" t="s">
        <v>26</v>
      </c>
      <c r="G143" s="25" t="s">
        <v>33</v>
      </c>
      <c r="H143" s="25" t="s">
        <v>52</v>
      </c>
      <c r="I143" s="25" t="s">
        <v>27</v>
      </c>
      <c r="J143" s="25">
        <v>0</v>
      </c>
      <c r="K143" s="25">
        <v>0</v>
      </c>
      <c r="L143" s="25">
        <v>0</v>
      </c>
      <c r="M143" s="25">
        <v>0</v>
      </c>
      <c r="N143" s="25">
        <v>0</v>
      </c>
      <c r="O143" s="25">
        <v>0</v>
      </c>
      <c r="P143" s="25"/>
      <c r="Q143" s="23" t="s">
        <v>81</v>
      </c>
      <c r="R143" s="23">
        <v>1</v>
      </c>
      <c r="S143" s="22">
        <v>11168862.84</v>
      </c>
      <c r="T143" s="22">
        <v>16098444</v>
      </c>
      <c r="U143" s="26" t="s">
        <v>227</v>
      </c>
    </row>
    <row r="144" spans="1:21" s="24" customFormat="1" ht="255" customHeight="1" x14ac:dyDescent="0.25">
      <c r="A144" s="23">
        <v>141</v>
      </c>
      <c r="B144" s="23">
        <v>2491600</v>
      </c>
      <c r="C144" s="23">
        <v>2022</v>
      </c>
      <c r="D144" s="23">
        <v>2026</v>
      </c>
      <c r="E144" s="23" t="s">
        <v>78</v>
      </c>
      <c r="F144" s="25" t="s">
        <v>26</v>
      </c>
      <c r="G144" s="25" t="s">
        <v>33</v>
      </c>
      <c r="H144" s="25" t="s">
        <v>52</v>
      </c>
      <c r="I144" s="25" t="s">
        <v>27</v>
      </c>
      <c r="J144" s="25" t="s">
        <v>40</v>
      </c>
      <c r="K144" s="25">
        <v>0</v>
      </c>
      <c r="L144" s="25">
        <v>0</v>
      </c>
      <c r="M144" s="25">
        <v>0</v>
      </c>
      <c r="N144" s="25">
        <v>0</v>
      </c>
      <c r="O144" s="25">
        <v>0</v>
      </c>
      <c r="P144" s="25"/>
      <c r="Q144" s="23" t="s">
        <v>41</v>
      </c>
      <c r="R144" s="23">
        <v>1</v>
      </c>
      <c r="S144" s="22">
        <v>17184224.98</v>
      </c>
      <c r="T144" s="22">
        <v>17075470</v>
      </c>
      <c r="U144" s="26" t="s">
        <v>228</v>
      </c>
    </row>
    <row r="145" spans="1:21" s="24" customFormat="1" ht="318.75" customHeight="1" x14ac:dyDescent="0.25">
      <c r="A145" s="23">
        <v>142</v>
      </c>
      <c r="B145" s="23">
        <v>2323005</v>
      </c>
      <c r="C145" s="23">
        <v>2022</v>
      </c>
      <c r="D145" s="23">
        <v>2025</v>
      </c>
      <c r="E145" s="23" t="s">
        <v>78</v>
      </c>
      <c r="F145" s="25" t="s">
        <v>26</v>
      </c>
      <c r="G145" s="25" t="s">
        <v>33</v>
      </c>
      <c r="H145" s="25" t="s">
        <v>27</v>
      </c>
      <c r="I145" s="25">
        <v>0</v>
      </c>
      <c r="J145" s="25">
        <v>0</v>
      </c>
      <c r="K145" s="25">
        <v>0</v>
      </c>
      <c r="L145" s="25">
        <v>0</v>
      </c>
      <c r="M145" s="25">
        <v>0</v>
      </c>
      <c r="N145" s="25">
        <v>0</v>
      </c>
      <c r="O145" s="25">
        <v>0</v>
      </c>
      <c r="P145" s="25"/>
      <c r="Q145" s="23" t="s">
        <v>28</v>
      </c>
      <c r="R145" s="23">
        <v>1</v>
      </c>
      <c r="S145" s="22">
        <v>31260747.91</v>
      </c>
      <c r="T145" s="22">
        <v>28916263</v>
      </c>
      <c r="U145" s="26" t="s">
        <v>229</v>
      </c>
    </row>
    <row r="146" spans="1:21" s="24" customFormat="1" ht="242.25" customHeight="1" x14ac:dyDescent="0.25">
      <c r="A146" s="23">
        <v>143</v>
      </c>
      <c r="B146" s="23">
        <v>2379368</v>
      </c>
      <c r="C146" s="23">
        <v>2022</v>
      </c>
      <c r="D146" s="23">
        <v>2025</v>
      </c>
      <c r="E146" s="23" t="s">
        <v>78</v>
      </c>
      <c r="F146" s="25" t="s">
        <v>26</v>
      </c>
      <c r="G146" s="25" t="s">
        <v>72</v>
      </c>
      <c r="H146" s="25" t="s">
        <v>27</v>
      </c>
      <c r="I146" s="25">
        <v>0</v>
      </c>
      <c r="J146" s="25">
        <v>0</v>
      </c>
      <c r="K146" s="25">
        <v>0</v>
      </c>
      <c r="L146" s="25">
        <v>0</v>
      </c>
      <c r="M146" s="25">
        <v>0</v>
      </c>
      <c r="N146" s="25">
        <v>0</v>
      </c>
      <c r="O146" s="25">
        <v>0</v>
      </c>
      <c r="P146" s="25"/>
      <c r="Q146" s="23" t="s">
        <v>28</v>
      </c>
      <c r="R146" s="23">
        <v>1</v>
      </c>
      <c r="S146" s="22">
        <v>9831752.6799999997</v>
      </c>
      <c r="T146" s="22">
        <v>11972916</v>
      </c>
      <c r="U146" s="26" t="s">
        <v>230</v>
      </c>
    </row>
    <row r="147" spans="1:21" s="24" customFormat="1" ht="357" customHeight="1" x14ac:dyDescent="0.25">
      <c r="A147" s="23">
        <v>144</v>
      </c>
      <c r="B147" s="23">
        <v>2288414</v>
      </c>
      <c r="C147" s="23">
        <v>2022</v>
      </c>
      <c r="D147" s="23">
        <v>2026</v>
      </c>
      <c r="E147" s="23" t="s">
        <v>78</v>
      </c>
      <c r="F147" s="25" t="s">
        <v>26</v>
      </c>
      <c r="G147" s="25" t="s">
        <v>72</v>
      </c>
      <c r="H147" s="25" t="s">
        <v>52</v>
      </c>
      <c r="I147" s="25" t="s">
        <v>27</v>
      </c>
      <c r="J147" s="25" t="s">
        <v>40</v>
      </c>
      <c r="K147" s="25">
        <v>0</v>
      </c>
      <c r="L147" s="25">
        <v>0</v>
      </c>
      <c r="M147" s="25">
        <v>0</v>
      </c>
      <c r="N147" s="25">
        <v>0</v>
      </c>
      <c r="O147" s="25">
        <v>0</v>
      </c>
      <c r="P147" s="25"/>
      <c r="Q147" s="23" t="s">
        <v>28</v>
      </c>
      <c r="R147" s="23">
        <v>1</v>
      </c>
      <c r="S147" s="22">
        <v>14880594.74</v>
      </c>
      <c r="T147" s="22">
        <v>15366777</v>
      </c>
      <c r="U147" s="26" t="s">
        <v>231</v>
      </c>
    </row>
    <row r="148" spans="1:21" s="24" customFormat="1" ht="267.75" customHeight="1" x14ac:dyDescent="0.25">
      <c r="A148" s="23">
        <v>145</v>
      </c>
      <c r="B148" s="23">
        <v>2378756</v>
      </c>
      <c r="C148" s="23">
        <v>2022</v>
      </c>
      <c r="D148" s="23">
        <v>2025</v>
      </c>
      <c r="E148" s="23" t="s">
        <v>78</v>
      </c>
      <c r="F148" s="25" t="s">
        <v>26</v>
      </c>
      <c r="G148" s="25" t="s">
        <v>72</v>
      </c>
      <c r="H148" s="25" t="s">
        <v>33</v>
      </c>
      <c r="I148" s="25" t="s">
        <v>27</v>
      </c>
      <c r="J148" s="25">
        <v>0</v>
      </c>
      <c r="K148" s="25">
        <v>0</v>
      </c>
      <c r="L148" s="25">
        <v>0</v>
      </c>
      <c r="M148" s="25">
        <v>0</v>
      </c>
      <c r="N148" s="25">
        <v>0</v>
      </c>
      <c r="O148" s="25">
        <v>0</v>
      </c>
      <c r="P148" s="25"/>
      <c r="Q148" s="23" t="s">
        <v>76</v>
      </c>
      <c r="R148" s="23">
        <v>1</v>
      </c>
      <c r="S148" s="22">
        <v>24622009.949999999</v>
      </c>
      <c r="T148" s="22">
        <v>41679714</v>
      </c>
      <c r="U148" s="26" t="s">
        <v>232</v>
      </c>
    </row>
    <row r="149" spans="1:21" s="24" customFormat="1" ht="153" customHeight="1" x14ac:dyDescent="0.25">
      <c r="A149" s="23">
        <v>146</v>
      </c>
      <c r="B149" s="23">
        <v>2460346</v>
      </c>
      <c r="C149" s="23">
        <v>2022</v>
      </c>
      <c r="D149" s="23">
        <v>2025</v>
      </c>
      <c r="E149" s="23" t="s">
        <v>78</v>
      </c>
      <c r="F149" s="25" t="s">
        <v>26</v>
      </c>
      <c r="G149" s="25" t="s">
        <v>33</v>
      </c>
      <c r="H149" s="25" t="s">
        <v>27</v>
      </c>
      <c r="I149" s="25">
        <v>0</v>
      </c>
      <c r="J149" s="25">
        <v>0</v>
      </c>
      <c r="K149" s="25">
        <v>0</v>
      </c>
      <c r="L149" s="25">
        <v>0</v>
      </c>
      <c r="M149" s="25">
        <v>0</v>
      </c>
      <c r="N149" s="25">
        <v>0</v>
      </c>
      <c r="O149" s="25">
        <v>0</v>
      </c>
      <c r="P149" s="25"/>
      <c r="Q149" s="23" t="s">
        <v>28</v>
      </c>
      <c r="R149" s="23">
        <v>1</v>
      </c>
      <c r="S149" s="22">
        <v>5327270.54</v>
      </c>
      <c r="T149" s="22">
        <v>5261070</v>
      </c>
      <c r="U149" s="26" t="s">
        <v>233</v>
      </c>
    </row>
    <row r="150" spans="1:21" s="24" customFormat="1" ht="204" customHeight="1" x14ac:dyDescent="0.25">
      <c r="A150" s="23">
        <v>147</v>
      </c>
      <c r="B150" s="23">
        <v>2454242</v>
      </c>
      <c r="C150" s="23">
        <v>2023</v>
      </c>
      <c r="D150" s="23">
        <v>2025</v>
      </c>
      <c r="E150" s="23" t="s">
        <v>234</v>
      </c>
      <c r="F150" s="25" t="s">
        <v>33</v>
      </c>
      <c r="G150" s="25" t="s">
        <v>52</v>
      </c>
      <c r="H150" s="25" t="s">
        <v>27</v>
      </c>
      <c r="I150" s="25">
        <v>0</v>
      </c>
      <c r="J150" s="25">
        <v>0</v>
      </c>
      <c r="K150" s="25">
        <v>0</v>
      </c>
      <c r="L150" s="25">
        <v>0</v>
      </c>
      <c r="M150" s="25">
        <v>0</v>
      </c>
      <c r="N150" s="25">
        <v>0</v>
      </c>
      <c r="O150" s="25">
        <v>0</v>
      </c>
      <c r="P150" s="25"/>
      <c r="Q150" s="23" t="s">
        <v>41</v>
      </c>
      <c r="R150" s="23">
        <v>4</v>
      </c>
      <c r="S150" s="22">
        <v>13014412.15</v>
      </c>
      <c r="T150" s="22">
        <v>13713322</v>
      </c>
      <c r="U150" s="26" t="s">
        <v>235</v>
      </c>
    </row>
    <row r="151" spans="1:21" s="24" customFormat="1" ht="229.5" customHeight="1" x14ac:dyDescent="0.25">
      <c r="A151" s="23">
        <v>148</v>
      </c>
      <c r="B151" s="23">
        <v>2489041</v>
      </c>
      <c r="C151" s="23">
        <v>2022</v>
      </c>
      <c r="D151" s="23">
        <v>2025</v>
      </c>
      <c r="E151" s="23" t="s">
        <v>78</v>
      </c>
      <c r="F151" s="25" t="s">
        <v>26</v>
      </c>
      <c r="G151" s="25" t="s">
        <v>33</v>
      </c>
      <c r="H151" s="25" t="s">
        <v>52</v>
      </c>
      <c r="I151" s="25" t="s">
        <v>27</v>
      </c>
      <c r="J151" s="25">
        <v>0</v>
      </c>
      <c r="K151" s="25">
        <v>0</v>
      </c>
      <c r="L151" s="25">
        <v>0</v>
      </c>
      <c r="M151" s="25">
        <v>0</v>
      </c>
      <c r="N151" s="25">
        <v>0</v>
      </c>
      <c r="O151" s="25">
        <v>0</v>
      </c>
      <c r="P151" s="25"/>
      <c r="Q151" s="23" t="s">
        <v>28</v>
      </c>
      <c r="R151" s="23">
        <v>1</v>
      </c>
      <c r="S151" s="22">
        <v>9705183.9100000001</v>
      </c>
      <c r="T151" s="22">
        <v>11902321</v>
      </c>
      <c r="U151" s="26" t="s">
        <v>236</v>
      </c>
    </row>
    <row r="152" spans="1:21" s="24" customFormat="1" ht="409.5" customHeight="1" x14ac:dyDescent="0.25">
      <c r="A152" s="23">
        <v>149</v>
      </c>
      <c r="B152" s="23">
        <v>2223521</v>
      </c>
      <c r="C152" s="23">
        <v>2023</v>
      </c>
      <c r="D152" s="23">
        <v>2025</v>
      </c>
      <c r="E152" s="23" t="s">
        <v>234</v>
      </c>
      <c r="F152" s="25" t="s">
        <v>33</v>
      </c>
      <c r="G152" s="25" t="s">
        <v>27</v>
      </c>
      <c r="H152" s="25" t="s">
        <v>216</v>
      </c>
      <c r="I152" s="25">
        <v>0</v>
      </c>
      <c r="J152" s="25">
        <v>0</v>
      </c>
      <c r="K152" s="25">
        <v>0</v>
      </c>
      <c r="L152" s="25">
        <v>0</v>
      </c>
      <c r="M152" s="25">
        <v>0</v>
      </c>
      <c r="N152" s="25">
        <v>0</v>
      </c>
      <c r="O152" s="25">
        <v>0</v>
      </c>
      <c r="P152" s="25"/>
      <c r="Q152" s="23" t="s">
        <v>81</v>
      </c>
      <c r="R152" s="23">
        <v>1</v>
      </c>
      <c r="S152" s="22">
        <v>27621654.600000001</v>
      </c>
      <c r="T152" s="22">
        <v>29138980</v>
      </c>
      <c r="U152" s="26" t="s">
        <v>237</v>
      </c>
    </row>
    <row r="153" spans="1:21" s="24" customFormat="1" ht="216.75" customHeight="1" x14ac:dyDescent="0.25">
      <c r="A153" s="23">
        <v>150</v>
      </c>
      <c r="B153" s="23">
        <v>2416117</v>
      </c>
      <c r="C153" s="23">
        <v>2022</v>
      </c>
      <c r="D153" s="23">
        <v>2025</v>
      </c>
      <c r="E153" s="23" t="s">
        <v>78</v>
      </c>
      <c r="F153" s="25" t="s">
        <v>26</v>
      </c>
      <c r="G153" s="25" t="s">
        <v>72</v>
      </c>
      <c r="H153" s="25" t="s">
        <v>52</v>
      </c>
      <c r="I153" s="25" t="s">
        <v>27</v>
      </c>
      <c r="J153" s="25">
        <v>0</v>
      </c>
      <c r="K153" s="25">
        <v>0</v>
      </c>
      <c r="L153" s="25">
        <v>0</v>
      </c>
      <c r="M153" s="25">
        <v>0</v>
      </c>
      <c r="N153" s="25">
        <v>0</v>
      </c>
      <c r="O153" s="25">
        <v>0</v>
      </c>
      <c r="P153" s="25"/>
      <c r="Q153" s="23" t="s">
        <v>28</v>
      </c>
      <c r="R153" s="23">
        <v>1</v>
      </c>
      <c r="S153" s="22">
        <v>5298789.33</v>
      </c>
      <c r="T153" s="22">
        <v>8120020</v>
      </c>
      <c r="U153" s="26" t="s">
        <v>238</v>
      </c>
    </row>
    <row r="154" spans="1:21" s="24" customFormat="1" ht="318.75" customHeight="1" x14ac:dyDescent="0.25">
      <c r="A154" s="23">
        <v>151</v>
      </c>
      <c r="B154" s="23">
        <v>2484741</v>
      </c>
      <c r="C154" s="23">
        <v>2024</v>
      </c>
      <c r="D154" s="23">
        <v>2025</v>
      </c>
      <c r="E154" s="23" t="s">
        <v>239</v>
      </c>
      <c r="F154" s="25" t="s">
        <v>27</v>
      </c>
      <c r="G154" s="25">
        <v>0</v>
      </c>
      <c r="H154" s="25">
        <v>0</v>
      </c>
      <c r="I154" s="25">
        <v>0</v>
      </c>
      <c r="J154" s="25">
        <v>0</v>
      </c>
      <c r="K154" s="25">
        <v>0</v>
      </c>
      <c r="L154" s="25">
        <v>0</v>
      </c>
      <c r="M154" s="25">
        <v>0</v>
      </c>
      <c r="N154" s="25">
        <v>0</v>
      </c>
      <c r="O154" s="25">
        <v>0</v>
      </c>
      <c r="P154" s="25"/>
      <c r="Q154" s="23" t="s">
        <v>28</v>
      </c>
      <c r="R154" s="23">
        <v>1</v>
      </c>
      <c r="S154" s="22">
        <v>2277728.38</v>
      </c>
      <c r="T154" s="22">
        <v>2200883</v>
      </c>
      <c r="U154" s="26" t="s">
        <v>240</v>
      </c>
    </row>
    <row r="155" spans="1:21" s="24" customFormat="1" ht="280.5" customHeight="1" x14ac:dyDescent="0.25">
      <c r="A155" s="23">
        <v>152</v>
      </c>
      <c r="B155" s="23">
        <v>2490240</v>
      </c>
      <c r="C155" s="23">
        <v>2024</v>
      </c>
      <c r="D155" s="23">
        <v>2025</v>
      </c>
      <c r="E155" s="23" t="s">
        <v>239</v>
      </c>
      <c r="F155" s="25" t="s">
        <v>27</v>
      </c>
      <c r="G155" s="25">
        <v>0</v>
      </c>
      <c r="H155" s="25">
        <v>0</v>
      </c>
      <c r="I155" s="25">
        <v>0</v>
      </c>
      <c r="J155" s="25">
        <v>0</v>
      </c>
      <c r="K155" s="25">
        <v>0</v>
      </c>
      <c r="L155" s="25">
        <v>0</v>
      </c>
      <c r="M155" s="25">
        <v>0</v>
      </c>
      <c r="N155" s="25">
        <v>0</v>
      </c>
      <c r="O155" s="25">
        <v>0</v>
      </c>
      <c r="P155" s="25"/>
      <c r="Q155" s="23" t="s">
        <v>81</v>
      </c>
      <c r="R155" s="23">
        <v>1</v>
      </c>
      <c r="S155" s="22">
        <v>5219322.01</v>
      </c>
      <c r="T155" s="22">
        <v>3822092</v>
      </c>
      <c r="U155" s="26" t="s">
        <v>241</v>
      </c>
    </row>
    <row r="156" spans="1:21" s="24" customFormat="1" ht="255" customHeight="1" x14ac:dyDescent="0.25">
      <c r="A156" s="23">
        <v>153</v>
      </c>
      <c r="B156" s="23">
        <v>2341196</v>
      </c>
      <c r="C156" s="23">
        <v>2022</v>
      </c>
      <c r="D156" s="23">
        <v>2026</v>
      </c>
      <c r="E156" s="23" t="s">
        <v>78</v>
      </c>
      <c r="F156" s="25" t="s">
        <v>26</v>
      </c>
      <c r="G156" s="25" t="s">
        <v>33</v>
      </c>
      <c r="H156" s="25" t="s">
        <v>27</v>
      </c>
      <c r="I156" s="25" t="s">
        <v>40</v>
      </c>
      <c r="J156" s="25">
        <v>0</v>
      </c>
      <c r="K156" s="25">
        <v>0</v>
      </c>
      <c r="L156" s="25">
        <v>0</v>
      </c>
      <c r="M156" s="25">
        <v>0</v>
      </c>
      <c r="N156" s="25">
        <v>0</v>
      </c>
      <c r="O156" s="25">
        <v>0</v>
      </c>
      <c r="P156" s="25"/>
      <c r="Q156" s="23" t="s">
        <v>81</v>
      </c>
      <c r="R156" s="23">
        <v>1</v>
      </c>
      <c r="S156" s="22">
        <v>12689840.130000001</v>
      </c>
      <c r="T156" s="22">
        <v>15793122</v>
      </c>
      <c r="U156" s="26" t="s">
        <v>242</v>
      </c>
    </row>
    <row r="157" spans="1:21" s="24" customFormat="1" ht="191.25" customHeight="1" x14ac:dyDescent="0.25">
      <c r="A157" s="23">
        <v>154</v>
      </c>
      <c r="B157" s="23">
        <v>2479346</v>
      </c>
      <c r="C157" s="23">
        <v>2023</v>
      </c>
      <c r="D157" s="23">
        <v>2025</v>
      </c>
      <c r="E157" s="23" t="s">
        <v>234</v>
      </c>
      <c r="F157" s="25" t="s">
        <v>33</v>
      </c>
      <c r="G157" s="25" t="s">
        <v>27</v>
      </c>
      <c r="H157" s="25">
        <v>0</v>
      </c>
      <c r="I157" s="25">
        <v>0</v>
      </c>
      <c r="J157" s="25">
        <v>0</v>
      </c>
      <c r="K157" s="25">
        <v>0</v>
      </c>
      <c r="L157" s="25">
        <v>0</v>
      </c>
      <c r="M157" s="25">
        <v>0</v>
      </c>
      <c r="N157" s="25">
        <v>0</v>
      </c>
      <c r="O157" s="25">
        <v>0</v>
      </c>
      <c r="P157" s="25"/>
      <c r="Q157" s="23" t="s">
        <v>76</v>
      </c>
      <c r="R157" s="23">
        <v>1</v>
      </c>
      <c r="S157" s="22">
        <v>7349184.3399999999</v>
      </c>
      <c r="T157" s="22">
        <v>9240105</v>
      </c>
      <c r="U157" s="26" t="s">
        <v>243</v>
      </c>
    </row>
    <row r="158" spans="1:21" s="24" customFormat="1" ht="409.5" customHeight="1" x14ac:dyDescent="0.25">
      <c r="A158" s="23">
        <v>155</v>
      </c>
      <c r="B158" s="23">
        <v>2510951</v>
      </c>
      <c r="C158" s="23">
        <v>2024</v>
      </c>
      <c r="D158" s="23">
        <v>2025</v>
      </c>
      <c r="E158" s="23" t="s">
        <v>239</v>
      </c>
      <c r="F158" s="25" t="s">
        <v>27</v>
      </c>
      <c r="G158" s="25">
        <v>0</v>
      </c>
      <c r="H158" s="25">
        <v>0</v>
      </c>
      <c r="I158" s="25">
        <v>0</v>
      </c>
      <c r="J158" s="25">
        <v>0</v>
      </c>
      <c r="K158" s="25">
        <v>0</v>
      </c>
      <c r="L158" s="25">
        <v>0</v>
      </c>
      <c r="M158" s="25">
        <v>0</v>
      </c>
      <c r="N158" s="25">
        <v>0</v>
      </c>
      <c r="O158" s="25">
        <v>0</v>
      </c>
      <c r="P158" s="25"/>
      <c r="Q158" s="23" t="s">
        <v>56</v>
      </c>
      <c r="R158" s="23">
        <v>1</v>
      </c>
      <c r="S158" s="22">
        <v>7597130</v>
      </c>
      <c r="T158" s="22">
        <v>5253539</v>
      </c>
      <c r="U158" s="26" t="s">
        <v>244</v>
      </c>
    </row>
    <row r="159" spans="1:21" s="24" customFormat="1" ht="204" customHeight="1" x14ac:dyDescent="0.25">
      <c r="A159" s="23">
        <v>156</v>
      </c>
      <c r="B159" s="23">
        <v>2199289</v>
      </c>
      <c r="C159" s="23" t="s">
        <v>188</v>
      </c>
      <c r="D159" s="23">
        <v>2025</v>
      </c>
      <c r="E159" s="23" t="s">
        <v>60</v>
      </c>
      <c r="F159" s="25" t="s">
        <v>65</v>
      </c>
      <c r="G159" s="25" t="s">
        <v>26</v>
      </c>
      <c r="H159" s="25" t="s">
        <v>27</v>
      </c>
      <c r="I159" s="25">
        <v>0</v>
      </c>
      <c r="J159" s="25">
        <v>0</v>
      </c>
      <c r="K159" s="25">
        <v>0</v>
      </c>
      <c r="L159" s="25">
        <v>0</v>
      </c>
      <c r="M159" s="25">
        <v>0</v>
      </c>
      <c r="N159" s="25">
        <v>0</v>
      </c>
      <c r="O159" s="25">
        <v>0</v>
      </c>
      <c r="P159" s="25"/>
      <c r="Q159" s="23" t="s">
        <v>28</v>
      </c>
      <c r="R159" s="23">
        <v>1</v>
      </c>
      <c r="S159" s="22">
        <v>1715052.16</v>
      </c>
      <c r="T159" s="22">
        <v>1601561</v>
      </c>
      <c r="U159" s="26" t="s">
        <v>245</v>
      </c>
    </row>
    <row r="160" spans="1:21" s="24" customFormat="1" ht="409.5" customHeight="1" x14ac:dyDescent="0.25">
      <c r="A160" s="23">
        <v>157</v>
      </c>
      <c r="B160" s="23">
        <v>2236005</v>
      </c>
      <c r="C160" s="23">
        <v>2021</v>
      </c>
      <c r="D160" s="23">
        <v>2025</v>
      </c>
      <c r="E160" s="23" t="s">
        <v>70</v>
      </c>
      <c r="F160" s="25" t="s">
        <v>75</v>
      </c>
      <c r="G160" s="25" t="s">
        <v>26</v>
      </c>
      <c r="H160" s="25" t="s">
        <v>33</v>
      </c>
      <c r="I160" s="25" t="s">
        <v>52</v>
      </c>
      <c r="J160" s="25" t="s">
        <v>27</v>
      </c>
      <c r="K160" s="25" t="s">
        <v>216</v>
      </c>
      <c r="L160" s="25">
        <v>0</v>
      </c>
      <c r="M160" s="25">
        <v>0</v>
      </c>
      <c r="N160" s="25">
        <v>0</v>
      </c>
      <c r="O160" s="25">
        <v>0</v>
      </c>
      <c r="P160" s="25"/>
      <c r="Q160" s="23" t="s">
        <v>76</v>
      </c>
      <c r="R160" s="23">
        <v>1</v>
      </c>
      <c r="S160" s="22">
        <v>16587487.43</v>
      </c>
      <c r="T160" s="22">
        <v>30288274</v>
      </c>
      <c r="U160" s="26" t="s">
        <v>246</v>
      </c>
    </row>
    <row r="161" spans="1:21" s="24" customFormat="1" ht="293.25" customHeight="1" x14ac:dyDescent="0.25">
      <c r="A161" s="23">
        <v>158</v>
      </c>
      <c r="B161" s="23">
        <v>2376503</v>
      </c>
      <c r="C161" s="23">
        <v>2022</v>
      </c>
      <c r="D161" s="23">
        <v>2025</v>
      </c>
      <c r="E161" s="23" t="s">
        <v>247</v>
      </c>
      <c r="F161" s="25" t="s">
        <v>26</v>
      </c>
      <c r="G161" s="25" t="s">
        <v>33</v>
      </c>
      <c r="H161" s="25" t="s">
        <v>51</v>
      </c>
      <c r="I161" s="25" t="s">
        <v>52</v>
      </c>
      <c r="J161" s="25" t="s">
        <v>27</v>
      </c>
      <c r="K161" s="25">
        <v>0</v>
      </c>
      <c r="L161" s="25">
        <v>0</v>
      </c>
      <c r="M161" s="25">
        <v>0</v>
      </c>
      <c r="N161" s="25">
        <v>0</v>
      </c>
      <c r="O161" s="25">
        <v>0</v>
      </c>
      <c r="P161" s="25"/>
      <c r="Q161" s="23" t="s">
        <v>28</v>
      </c>
      <c r="R161" s="23">
        <v>1</v>
      </c>
      <c r="S161" s="22">
        <v>14978150.050000001</v>
      </c>
      <c r="T161" s="22">
        <v>14743270</v>
      </c>
      <c r="U161" s="26" t="s">
        <v>248</v>
      </c>
    </row>
    <row r="162" spans="1:21" s="24" customFormat="1" ht="165.75" customHeight="1" x14ac:dyDescent="0.25">
      <c r="A162" s="23">
        <v>159</v>
      </c>
      <c r="B162" s="23">
        <v>2500863</v>
      </c>
      <c r="C162" s="23">
        <v>2022</v>
      </c>
      <c r="D162" s="23">
        <v>2025</v>
      </c>
      <c r="E162" s="23" t="s">
        <v>78</v>
      </c>
      <c r="F162" s="25" t="s">
        <v>26</v>
      </c>
      <c r="G162" s="25" t="s">
        <v>33</v>
      </c>
      <c r="H162" s="25" t="s">
        <v>52</v>
      </c>
      <c r="I162" s="25" t="s">
        <v>27</v>
      </c>
      <c r="J162" s="25">
        <v>0</v>
      </c>
      <c r="K162" s="25">
        <v>0</v>
      </c>
      <c r="L162" s="25">
        <v>0</v>
      </c>
      <c r="M162" s="25">
        <v>0</v>
      </c>
      <c r="N162" s="25">
        <v>0</v>
      </c>
      <c r="O162" s="25">
        <v>0</v>
      </c>
      <c r="P162" s="25"/>
      <c r="Q162" s="23" t="s">
        <v>41</v>
      </c>
      <c r="R162" s="23">
        <v>1</v>
      </c>
      <c r="S162" s="22">
        <v>12483589.49</v>
      </c>
      <c r="T162" s="22">
        <v>15905714</v>
      </c>
      <c r="U162" s="26" t="s">
        <v>249</v>
      </c>
    </row>
    <row r="163" spans="1:21" s="24" customFormat="1" ht="191.25" customHeight="1" x14ac:dyDescent="0.25">
      <c r="A163" s="23">
        <v>160</v>
      </c>
      <c r="B163" s="23">
        <v>2355273</v>
      </c>
      <c r="C163" s="23">
        <v>2024</v>
      </c>
      <c r="D163" s="23">
        <v>2025</v>
      </c>
      <c r="E163" s="23" t="s">
        <v>239</v>
      </c>
      <c r="F163" s="25" t="s">
        <v>27</v>
      </c>
      <c r="G163" s="25" t="s">
        <v>209</v>
      </c>
      <c r="H163" s="25" t="s">
        <v>250</v>
      </c>
      <c r="I163" s="25">
        <v>0</v>
      </c>
      <c r="J163" s="25">
        <v>0</v>
      </c>
      <c r="K163" s="25">
        <v>0</v>
      </c>
      <c r="L163" s="25">
        <v>0</v>
      </c>
      <c r="M163" s="25">
        <v>0</v>
      </c>
      <c r="N163" s="25">
        <v>0</v>
      </c>
      <c r="O163" s="25">
        <v>0</v>
      </c>
      <c r="P163" s="25"/>
      <c r="Q163" s="23" t="s">
        <v>81</v>
      </c>
      <c r="R163" s="23">
        <v>1</v>
      </c>
      <c r="S163" s="22">
        <v>12299080.050000001</v>
      </c>
      <c r="T163" s="22">
        <v>9841275</v>
      </c>
      <c r="U163" s="26" t="s">
        <v>251</v>
      </c>
    </row>
    <row r="164" spans="1:21" s="24" customFormat="1" ht="127.5" customHeight="1" x14ac:dyDescent="0.25">
      <c r="A164" s="23">
        <v>161</v>
      </c>
      <c r="B164" s="23">
        <v>2076238</v>
      </c>
      <c r="C164" s="23">
        <v>2012</v>
      </c>
      <c r="D164" s="23">
        <v>2012</v>
      </c>
      <c r="E164" s="23" t="s">
        <v>252</v>
      </c>
      <c r="F164" s="25">
        <v>0</v>
      </c>
      <c r="G164" s="25">
        <v>0</v>
      </c>
      <c r="H164" s="25">
        <v>0</v>
      </c>
      <c r="I164" s="25">
        <v>0</v>
      </c>
      <c r="J164" s="25">
        <v>0</v>
      </c>
      <c r="K164" s="25">
        <v>0</v>
      </c>
      <c r="L164" s="25">
        <v>0</v>
      </c>
      <c r="M164" s="25">
        <v>0</v>
      </c>
      <c r="N164" s="25">
        <v>0</v>
      </c>
      <c r="O164" s="25">
        <v>0</v>
      </c>
      <c r="P164" s="25"/>
      <c r="Q164" s="23" t="s">
        <v>28</v>
      </c>
      <c r="R164" s="23">
        <v>1</v>
      </c>
      <c r="S164" s="22">
        <v>4910257.5199999996</v>
      </c>
      <c r="T164" s="22">
        <v>2572521</v>
      </c>
      <c r="U164" s="26" t="s">
        <v>253</v>
      </c>
    </row>
    <row r="165" spans="1:21" s="24" customFormat="1" ht="204" customHeight="1" x14ac:dyDescent="0.25">
      <c r="A165" s="23">
        <v>162</v>
      </c>
      <c r="B165" s="23">
        <v>2032898</v>
      </c>
      <c r="C165" s="23">
        <v>2013</v>
      </c>
      <c r="D165" s="23">
        <v>2023</v>
      </c>
      <c r="E165" s="23" t="s">
        <v>83</v>
      </c>
      <c r="F165" s="25" t="s">
        <v>26</v>
      </c>
      <c r="G165" s="25">
        <v>0</v>
      </c>
      <c r="H165" s="25">
        <v>0</v>
      </c>
      <c r="I165" s="25">
        <v>0</v>
      </c>
      <c r="J165" s="25">
        <v>0</v>
      </c>
      <c r="K165" s="25">
        <v>0</v>
      </c>
      <c r="L165" s="25">
        <v>0</v>
      </c>
      <c r="M165" s="25">
        <v>0</v>
      </c>
      <c r="N165" s="25">
        <v>0</v>
      </c>
      <c r="O165" s="25">
        <v>0</v>
      </c>
      <c r="P165" s="25"/>
      <c r="Q165" s="23" t="s">
        <v>28</v>
      </c>
      <c r="R165" s="23">
        <v>1</v>
      </c>
      <c r="S165" s="22">
        <v>6574002.9299999997</v>
      </c>
      <c r="T165" s="22">
        <v>650656</v>
      </c>
      <c r="U165" s="26" t="s">
        <v>254</v>
      </c>
    </row>
    <row r="166" spans="1:21" s="24" customFormat="1" ht="229.5" customHeight="1" x14ac:dyDescent="0.25">
      <c r="A166" s="23">
        <v>163</v>
      </c>
      <c r="B166" s="23">
        <v>2240439</v>
      </c>
      <c r="C166" s="23">
        <v>2018</v>
      </c>
      <c r="D166" s="23">
        <v>2025</v>
      </c>
      <c r="E166" s="23" t="s">
        <v>174</v>
      </c>
      <c r="F166" s="25" t="s">
        <v>24</v>
      </c>
      <c r="G166" s="25" t="s">
        <v>32</v>
      </c>
      <c r="H166" s="25" t="s">
        <v>33</v>
      </c>
      <c r="I166" s="25" t="s">
        <v>27</v>
      </c>
      <c r="J166" s="25">
        <v>0</v>
      </c>
      <c r="K166" s="25">
        <v>0</v>
      </c>
      <c r="L166" s="25">
        <v>0</v>
      </c>
      <c r="M166" s="25">
        <v>0</v>
      </c>
      <c r="N166" s="25">
        <v>0</v>
      </c>
      <c r="O166" s="25">
        <v>0</v>
      </c>
      <c r="P166" s="25"/>
      <c r="Q166" s="23" t="s">
        <v>28</v>
      </c>
      <c r="R166" s="23">
        <v>1</v>
      </c>
      <c r="S166" s="22">
        <v>6302554.4100000001</v>
      </c>
      <c r="T166" s="22">
        <v>6923661</v>
      </c>
      <c r="U166" s="26" t="s">
        <v>255</v>
      </c>
    </row>
    <row r="167" spans="1:21" s="24" customFormat="1" ht="229.5" customHeight="1" x14ac:dyDescent="0.25">
      <c r="A167" s="23">
        <v>164</v>
      </c>
      <c r="B167" s="23">
        <v>2188148</v>
      </c>
      <c r="C167" s="23">
        <v>2015</v>
      </c>
      <c r="D167" s="23">
        <v>2016</v>
      </c>
      <c r="E167" s="23" t="s">
        <v>20</v>
      </c>
      <c r="F167" s="25" t="s">
        <v>21</v>
      </c>
      <c r="G167" s="25">
        <v>0</v>
      </c>
      <c r="H167" s="25">
        <v>0</v>
      </c>
      <c r="I167" s="25">
        <v>0</v>
      </c>
      <c r="J167" s="25">
        <v>0</v>
      </c>
      <c r="K167" s="25">
        <v>0</v>
      </c>
      <c r="L167" s="25">
        <v>0</v>
      </c>
      <c r="M167" s="25">
        <v>0</v>
      </c>
      <c r="N167" s="25">
        <v>0</v>
      </c>
      <c r="O167" s="25">
        <v>0</v>
      </c>
      <c r="P167" s="25"/>
      <c r="Q167" s="23" t="s">
        <v>28</v>
      </c>
      <c r="R167" s="23">
        <v>1</v>
      </c>
      <c r="S167" s="22">
        <v>1790191.3</v>
      </c>
      <c r="T167" s="22">
        <v>1285898</v>
      </c>
      <c r="U167" s="26" t="s">
        <v>256</v>
      </c>
    </row>
    <row r="168" spans="1:21" s="24" customFormat="1" ht="306" customHeight="1" x14ac:dyDescent="0.25">
      <c r="A168" s="23">
        <v>165</v>
      </c>
      <c r="B168" s="23">
        <v>2250295</v>
      </c>
      <c r="C168" s="23">
        <v>2015</v>
      </c>
      <c r="D168" s="23">
        <v>2015</v>
      </c>
      <c r="E168" s="23" t="s">
        <v>20</v>
      </c>
      <c r="F168" s="25">
        <v>0</v>
      </c>
      <c r="G168" s="25">
        <v>0</v>
      </c>
      <c r="H168" s="25">
        <v>0</v>
      </c>
      <c r="I168" s="25">
        <v>0</v>
      </c>
      <c r="J168" s="25">
        <v>0</v>
      </c>
      <c r="K168" s="25">
        <v>0</v>
      </c>
      <c r="L168" s="25">
        <v>0</v>
      </c>
      <c r="M168" s="25">
        <v>0</v>
      </c>
      <c r="N168" s="25">
        <v>0</v>
      </c>
      <c r="O168" s="25">
        <v>0</v>
      </c>
      <c r="P168" s="25"/>
      <c r="Q168" s="23" t="s">
        <v>56</v>
      </c>
      <c r="R168" s="23">
        <v>1</v>
      </c>
      <c r="S168" s="22">
        <v>2150614.5099999998</v>
      </c>
      <c r="T168" s="22">
        <v>65506</v>
      </c>
      <c r="U168" s="26" t="s">
        <v>257</v>
      </c>
    </row>
    <row r="169" spans="1:21" s="24" customFormat="1" ht="242.25" customHeight="1" x14ac:dyDescent="0.25">
      <c r="A169" s="23">
        <v>166</v>
      </c>
      <c r="B169" s="23">
        <v>2194501</v>
      </c>
      <c r="C169" s="23">
        <v>2015</v>
      </c>
      <c r="D169" s="23">
        <v>2026</v>
      </c>
      <c r="E169" s="23" t="s">
        <v>38</v>
      </c>
      <c r="F169" s="25" t="s">
        <v>36</v>
      </c>
      <c r="G169" s="25" t="s">
        <v>39</v>
      </c>
      <c r="H169" s="25" t="s">
        <v>32</v>
      </c>
      <c r="I169" s="25" t="s">
        <v>26</v>
      </c>
      <c r="J169" s="25" t="s">
        <v>33</v>
      </c>
      <c r="K169" s="25" t="s">
        <v>40</v>
      </c>
      <c r="L169" s="25">
        <v>0</v>
      </c>
      <c r="M169" s="25">
        <v>0</v>
      </c>
      <c r="N169" s="25">
        <v>0</v>
      </c>
      <c r="O169" s="25">
        <v>0</v>
      </c>
      <c r="P169" s="25"/>
      <c r="Q169" s="23" t="s">
        <v>28</v>
      </c>
      <c r="R169" s="23">
        <v>1</v>
      </c>
      <c r="S169" s="22">
        <v>8247867.6799999997</v>
      </c>
      <c r="T169" s="22">
        <v>870717</v>
      </c>
      <c r="U169" s="26" t="s">
        <v>258</v>
      </c>
    </row>
    <row r="170" spans="1:21" s="24" customFormat="1" ht="280.5" customHeight="1" x14ac:dyDescent="0.25">
      <c r="A170" s="23">
        <v>167</v>
      </c>
      <c r="B170" s="23">
        <v>2123984</v>
      </c>
      <c r="C170" s="23">
        <v>2015</v>
      </c>
      <c r="D170" s="23">
        <v>2017</v>
      </c>
      <c r="E170" s="23" t="s">
        <v>259</v>
      </c>
      <c r="F170" s="25" t="s">
        <v>36</v>
      </c>
      <c r="G170" s="25">
        <v>0</v>
      </c>
      <c r="H170" s="25">
        <v>0</v>
      </c>
      <c r="I170" s="25">
        <v>0</v>
      </c>
      <c r="J170" s="25">
        <v>0</v>
      </c>
      <c r="K170" s="25">
        <v>0</v>
      </c>
      <c r="L170" s="25">
        <v>0</v>
      </c>
      <c r="M170" s="25">
        <v>0</v>
      </c>
      <c r="N170" s="25">
        <v>0</v>
      </c>
      <c r="O170" s="25">
        <v>0</v>
      </c>
      <c r="P170" s="25"/>
      <c r="Q170" s="23" t="s">
        <v>28</v>
      </c>
      <c r="R170" s="23">
        <v>1</v>
      </c>
      <c r="S170" s="22">
        <v>1644984.66</v>
      </c>
      <c r="T170" s="22">
        <v>1650574</v>
      </c>
      <c r="U170" s="26" t="s">
        <v>260</v>
      </c>
    </row>
    <row r="171" spans="1:21" s="24" customFormat="1" ht="409.5" customHeight="1" x14ac:dyDescent="0.25">
      <c r="A171" s="23">
        <v>168</v>
      </c>
      <c r="B171" s="23">
        <v>2188328</v>
      </c>
      <c r="C171" s="23">
        <v>2017</v>
      </c>
      <c r="D171" s="23">
        <v>2026</v>
      </c>
      <c r="E171" s="23" t="s">
        <v>44</v>
      </c>
      <c r="F171" s="25" t="s">
        <v>26</v>
      </c>
      <c r="G171" s="25" t="s">
        <v>40</v>
      </c>
      <c r="H171" s="25">
        <v>0</v>
      </c>
      <c r="I171" s="25">
        <v>0</v>
      </c>
      <c r="J171" s="25">
        <v>0</v>
      </c>
      <c r="K171" s="25">
        <v>0</v>
      </c>
      <c r="L171" s="25">
        <v>0</v>
      </c>
      <c r="M171" s="25">
        <v>0</v>
      </c>
      <c r="N171" s="25">
        <v>0</v>
      </c>
      <c r="O171" s="25">
        <v>0</v>
      </c>
      <c r="P171" s="25"/>
      <c r="Q171" s="23" t="s">
        <v>261</v>
      </c>
      <c r="R171" s="23">
        <v>1</v>
      </c>
      <c r="S171" s="22">
        <v>10168784.960000001</v>
      </c>
      <c r="T171" s="22">
        <v>3045313</v>
      </c>
      <c r="U171" s="26" t="s">
        <v>262</v>
      </c>
    </row>
    <row r="172" spans="1:21" s="24" customFormat="1" ht="409.5" customHeight="1" x14ac:dyDescent="0.25">
      <c r="A172" s="23">
        <v>169</v>
      </c>
      <c r="B172" s="23">
        <v>2134888</v>
      </c>
      <c r="C172" s="23">
        <v>2021</v>
      </c>
      <c r="D172" s="23">
        <v>2024</v>
      </c>
      <c r="E172" s="23" t="s">
        <v>70</v>
      </c>
      <c r="F172" s="25" t="s">
        <v>71</v>
      </c>
      <c r="G172" s="25" t="s">
        <v>51</v>
      </c>
      <c r="H172" s="25" t="s">
        <v>52</v>
      </c>
      <c r="I172" s="25">
        <v>0</v>
      </c>
      <c r="J172" s="25">
        <v>0</v>
      </c>
      <c r="K172" s="25">
        <v>0</v>
      </c>
      <c r="L172" s="25">
        <v>0</v>
      </c>
      <c r="M172" s="25">
        <v>0</v>
      </c>
      <c r="N172" s="25">
        <v>0</v>
      </c>
      <c r="O172" s="25">
        <v>0</v>
      </c>
      <c r="P172" s="25"/>
      <c r="Q172" s="23" t="s">
        <v>41</v>
      </c>
      <c r="R172" s="23">
        <v>1</v>
      </c>
      <c r="S172" s="22">
        <v>14515892.66</v>
      </c>
      <c r="T172" s="22">
        <v>11654807</v>
      </c>
      <c r="U172" s="26" t="s">
        <v>263</v>
      </c>
    </row>
    <row r="173" spans="1:21" s="24" customFormat="1" ht="409.5" customHeight="1" x14ac:dyDescent="0.25">
      <c r="A173" s="23">
        <v>170</v>
      </c>
      <c r="B173" s="23">
        <v>2411336</v>
      </c>
      <c r="C173" s="23">
        <v>2021</v>
      </c>
      <c r="D173" s="23">
        <v>2026</v>
      </c>
      <c r="E173" s="23" t="s">
        <v>70</v>
      </c>
      <c r="F173" s="25" t="s">
        <v>40</v>
      </c>
      <c r="G173" s="25">
        <v>0</v>
      </c>
      <c r="H173" s="25">
        <v>0</v>
      </c>
      <c r="I173" s="25">
        <v>0</v>
      </c>
      <c r="J173" s="25">
        <v>0</v>
      </c>
      <c r="K173" s="25">
        <v>0</v>
      </c>
      <c r="L173" s="25">
        <v>0</v>
      </c>
      <c r="M173" s="25">
        <v>0</v>
      </c>
      <c r="N173" s="25">
        <v>0</v>
      </c>
      <c r="O173" s="25">
        <v>0</v>
      </c>
      <c r="P173" s="25"/>
      <c r="Q173" s="23" t="s">
        <v>76</v>
      </c>
      <c r="R173" s="23">
        <v>1</v>
      </c>
      <c r="S173" s="22">
        <v>56147931.409999996</v>
      </c>
      <c r="T173" s="22">
        <v>14900465</v>
      </c>
      <c r="U173" s="26" t="s">
        <v>264</v>
      </c>
    </row>
    <row r="174" spans="1:21" s="24" customFormat="1" ht="153" customHeight="1" x14ac:dyDescent="0.25">
      <c r="A174" s="23">
        <v>171</v>
      </c>
      <c r="B174" s="23">
        <v>2453837</v>
      </c>
      <c r="C174" s="23">
        <v>2022</v>
      </c>
      <c r="D174" s="23">
        <v>2025</v>
      </c>
      <c r="E174" s="23" t="s">
        <v>78</v>
      </c>
      <c r="F174" s="25" t="s">
        <v>26</v>
      </c>
      <c r="G174" s="25" t="s">
        <v>33</v>
      </c>
      <c r="H174" s="25" t="s">
        <v>52</v>
      </c>
      <c r="I174" s="25" t="s">
        <v>27</v>
      </c>
      <c r="J174" s="25">
        <v>0</v>
      </c>
      <c r="K174" s="25">
        <v>0</v>
      </c>
      <c r="L174" s="25">
        <v>0</v>
      </c>
      <c r="M174" s="25">
        <v>0</v>
      </c>
      <c r="N174" s="25">
        <v>0</v>
      </c>
      <c r="O174" s="25">
        <v>0</v>
      </c>
      <c r="P174" s="25"/>
      <c r="Q174" s="23" t="s">
        <v>28</v>
      </c>
      <c r="R174" s="23">
        <v>5</v>
      </c>
      <c r="S174" s="22">
        <v>21044593</v>
      </c>
      <c r="T174" s="22">
        <v>23311052</v>
      </c>
      <c r="U174" s="26" t="s">
        <v>265</v>
      </c>
    </row>
    <row r="175" spans="1:21" s="24" customFormat="1" ht="344.25" customHeight="1" x14ac:dyDescent="0.25">
      <c r="A175" s="23">
        <v>172</v>
      </c>
      <c r="B175" s="23">
        <v>2329614</v>
      </c>
      <c r="C175" s="23" t="s">
        <v>43</v>
      </c>
      <c r="D175" s="23">
        <v>2024</v>
      </c>
      <c r="E175" s="23" t="s">
        <v>36</v>
      </c>
      <c r="F175" s="25" t="s">
        <v>49</v>
      </c>
      <c r="G175" s="25" t="s">
        <v>24</v>
      </c>
      <c r="H175" s="25" t="s">
        <v>39</v>
      </c>
      <c r="I175" s="25" t="s">
        <v>32</v>
      </c>
      <c r="J175" s="25" t="s">
        <v>33</v>
      </c>
      <c r="K175" s="25">
        <v>0</v>
      </c>
      <c r="L175" s="25">
        <v>0</v>
      </c>
      <c r="M175" s="25">
        <v>0</v>
      </c>
      <c r="N175" s="25">
        <v>0</v>
      </c>
      <c r="O175" s="25">
        <v>0</v>
      </c>
      <c r="P175" s="25"/>
      <c r="Q175" s="23" t="s">
        <v>41</v>
      </c>
      <c r="R175" s="23">
        <v>8</v>
      </c>
      <c r="S175" s="22">
        <v>18808046.899999999</v>
      </c>
      <c r="T175" s="22">
        <v>19581229</v>
      </c>
      <c r="U175" s="26" t="s">
        <v>266</v>
      </c>
    </row>
    <row r="176" spans="1:21" s="24" customFormat="1" ht="409.5" customHeight="1" x14ac:dyDescent="0.25">
      <c r="A176" s="23">
        <v>173</v>
      </c>
      <c r="B176" s="23">
        <v>2418983</v>
      </c>
      <c r="C176" s="23">
        <v>2026</v>
      </c>
      <c r="D176" s="23">
        <v>2026</v>
      </c>
      <c r="E176" s="23" t="s">
        <v>216</v>
      </c>
      <c r="F176" s="25" t="s">
        <v>40</v>
      </c>
      <c r="G176" s="25">
        <v>0</v>
      </c>
      <c r="H176" s="25">
        <v>0</v>
      </c>
      <c r="I176" s="25">
        <v>0</v>
      </c>
      <c r="J176" s="25">
        <v>0</v>
      </c>
      <c r="K176" s="25">
        <v>0</v>
      </c>
      <c r="L176" s="25">
        <v>0</v>
      </c>
      <c r="M176" s="25">
        <v>0</v>
      </c>
      <c r="N176" s="25">
        <v>0</v>
      </c>
      <c r="O176" s="25">
        <v>0</v>
      </c>
      <c r="P176" s="25"/>
      <c r="Q176" s="23" t="s">
        <v>81</v>
      </c>
      <c r="R176" s="23">
        <v>1</v>
      </c>
      <c r="S176" s="22">
        <v>23526746.300000001</v>
      </c>
      <c r="T176" s="22">
        <v>4088850</v>
      </c>
      <c r="U176" s="26" t="s">
        <v>267</v>
      </c>
    </row>
    <row r="177" spans="1:21" s="24" customFormat="1" ht="409.5" customHeight="1" x14ac:dyDescent="0.25">
      <c r="A177" s="23">
        <v>174</v>
      </c>
      <c r="B177" s="23">
        <v>2312632</v>
      </c>
      <c r="C177" s="23" t="s">
        <v>104</v>
      </c>
      <c r="D177" s="23">
        <v>2024</v>
      </c>
      <c r="E177" s="23" t="s">
        <v>22</v>
      </c>
      <c r="F177" s="25" t="s">
        <v>23</v>
      </c>
      <c r="G177" s="25" t="s">
        <v>32</v>
      </c>
      <c r="H177" s="25" t="s">
        <v>33</v>
      </c>
      <c r="I177" s="25">
        <v>0</v>
      </c>
      <c r="J177" s="25">
        <v>0</v>
      </c>
      <c r="K177" s="25">
        <v>0</v>
      </c>
      <c r="L177" s="25">
        <v>0</v>
      </c>
      <c r="M177" s="25">
        <v>0</v>
      </c>
      <c r="N177" s="25">
        <v>0</v>
      </c>
      <c r="O177" s="25">
        <v>0</v>
      </c>
      <c r="P177" s="25"/>
      <c r="Q177" s="23" t="s">
        <v>41</v>
      </c>
      <c r="R177" s="23">
        <v>2</v>
      </c>
      <c r="S177" s="22">
        <v>6009413.29</v>
      </c>
      <c r="T177" s="22">
        <v>5592470</v>
      </c>
      <c r="U177" s="26" t="s">
        <v>268</v>
      </c>
    </row>
    <row r="178" spans="1:21" s="24" customFormat="1" ht="51" customHeight="1" x14ac:dyDescent="0.25">
      <c r="A178" s="23">
        <v>175</v>
      </c>
      <c r="B178" s="23">
        <v>2223275</v>
      </c>
      <c r="C178" s="23">
        <v>2026</v>
      </c>
      <c r="D178" s="23">
        <v>2026</v>
      </c>
      <c r="E178" s="23" t="s">
        <v>40</v>
      </c>
      <c r="F178" s="25">
        <v>0</v>
      </c>
      <c r="G178" s="25">
        <v>0</v>
      </c>
      <c r="H178" s="25">
        <v>0</v>
      </c>
      <c r="I178" s="25">
        <v>0</v>
      </c>
      <c r="J178" s="25">
        <v>0</v>
      </c>
      <c r="K178" s="25">
        <v>0</v>
      </c>
      <c r="L178" s="25">
        <v>0</v>
      </c>
      <c r="M178" s="25">
        <v>0</v>
      </c>
      <c r="N178" s="25">
        <v>0</v>
      </c>
      <c r="O178" s="25">
        <v>0</v>
      </c>
      <c r="P178" s="25"/>
      <c r="Q178" s="23" t="s">
        <v>269</v>
      </c>
      <c r="R178" s="23">
        <v>1</v>
      </c>
      <c r="S178" s="22">
        <v>3444663.45</v>
      </c>
      <c r="T178" s="22">
        <v>622849</v>
      </c>
      <c r="U178" s="26" t="s">
        <v>270</v>
      </c>
    </row>
    <row r="179" spans="1:21" s="24" customFormat="1" ht="293.25" customHeight="1" x14ac:dyDescent="0.25">
      <c r="A179" s="23">
        <v>176</v>
      </c>
      <c r="B179" s="23">
        <v>2326700</v>
      </c>
      <c r="C179" s="23">
        <v>2025</v>
      </c>
      <c r="D179" s="23">
        <v>2025</v>
      </c>
      <c r="E179" s="23" t="s">
        <v>271</v>
      </c>
      <c r="F179" s="25">
        <v>0</v>
      </c>
      <c r="G179" s="25">
        <v>0</v>
      </c>
      <c r="H179" s="25">
        <v>0</v>
      </c>
      <c r="I179" s="25">
        <v>0</v>
      </c>
      <c r="J179" s="25">
        <v>0</v>
      </c>
      <c r="K179" s="25">
        <v>0</v>
      </c>
      <c r="L179" s="25">
        <v>0</v>
      </c>
      <c r="M179" s="25">
        <v>0</v>
      </c>
      <c r="N179" s="25">
        <v>0</v>
      </c>
      <c r="O179" s="25">
        <v>0</v>
      </c>
      <c r="P179" s="25"/>
      <c r="Q179" s="23" t="s">
        <v>272</v>
      </c>
      <c r="R179" s="23">
        <v>1</v>
      </c>
      <c r="S179" s="22">
        <v>21451615.699999999</v>
      </c>
      <c r="T179" s="22">
        <v>6121985</v>
      </c>
      <c r="U179" s="26" t="s">
        <v>273</v>
      </c>
    </row>
    <row r="180" spans="1:21" s="24" customFormat="1" ht="409.5" customHeight="1" x14ac:dyDescent="0.25">
      <c r="A180" s="23">
        <v>177</v>
      </c>
      <c r="B180" s="23">
        <v>2339270</v>
      </c>
      <c r="C180" s="23">
        <v>2025</v>
      </c>
      <c r="D180" s="23">
        <v>2025</v>
      </c>
      <c r="E180" s="23" t="s">
        <v>274</v>
      </c>
      <c r="F180" s="25">
        <v>0</v>
      </c>
      <c r="G180" s="25">
        <v>0</v>
      </c>
      <c r="H180" s="25">
        <v>0</v>
      </c>
      <c r="I180" s="25">
        <v>0</v>
      </c>
      <c r="J180" s="25">
        <v>0</v>
      </c>
      <c r="K180" s="25">
        <v>0</v>
      </c>
      <c r="L180" s="25">
        <v>0</v>
      </c>
      <c r="M180" s="25">
        <v>0</v>
      </c>
      <c r="N180" s="25">
        <v>0</v>
      </c>
      <c r="O180" s="25">
        <v>0</v>
      </c>
      <c r="P180" s="25"/>
      <c r="Q180" s="23" t="s">
        <v>81</v>
      </c>
      <c r="R180" s="23">
        <v>1</v>
      </c>
      <c r="S180" s="22">
        <v>5356405.26</v>
      </c>
      <c r="T180" s="22">
        <v>2015749</v>
      </c>
      <c r="U180" s="26" t="s">
        <v>275</v>
      </c>
    </row>
    <row r="181" spans="1:21" s="24" customFormat="1" ht="344.25" customHeight="1" x14ac:dyDescent="0.25">
      <c r="A181" s="23">
        <v>178</v>
      </c>
      <c r="B181" s="23">
        <v>2522406</v>
      </c>
      <c r="C181" s="23">
        <v>2023</v>
      </c>
      <c r="D181" s="23">
        <v>2026</v>
      </c>
      <c r="E181" s="23" t="s">
        <v>276</v>
      </c>
      <c r="F181" s="25" t="s">
        <v>51</v>
      </c>
      <c r="G181" s="25" t="s">
        <v>250</v>
      </c>
      <c r="H181" s="25" t="s">
        <v>40</v>
      </c>
      <c r="I181" s="25">
        <v>0</v>
      </c>
      <c r="J181" s="25">
        <v>0</v>
      </c>
      <c r="K181" s="25">
        <v>0</v>
      </c>
      <c r="L181" s="25">
        <v>0</v>
      </c>
      <c r="M181" s="25">
        <v>0</v>
      </c>
      <c r="N181" s="25">
        <v>0</v>
      </c>
      <c r="O181" s="25">
        <v>0</v>
      </c>
      <c r="P181" s="25"/>
      <c r="Q181" s="23" t="s">
        <v>81</v>
      </c>
      <c r="R181" s="23">
        <v>1</v>
      </c>
      <c r="S181" s="22">
        <v>8799138.3100000005</v>
      </c>
      <c r="T181" s="22">
        <v>14458912</v>
      </c>
      <c r="U181" s="26" t="s">
        <v>277</v>
      </c>
    </row>
    <row r="182" spans="1:21" s="24" customFormat="1" ht="306" customHeight="1" x14ac:dyDescent="0.25">
      <c r="A182" s="23">
        <v>179</v>
      </c>
      <c r="B182" s="23">
        <v>2231738</v>
      </c>
      <c r="C182" s="23">
        <v>2014</v>
      </c>
      <c r="D182" s="23">
        <v>2024</v>
      </c>
      <c r="E182" s="23" t="s">
        <v>46</v>
      </c>
      <c r="F182" s="25" t="s">
        <v>22</v>
      </c>
      <c r="G182" s="25" t="s">
        <v>23</v>
      </c>
      <c r="H182" s="25" t="s">
        <v>32</v>
      </c>
      <c r="I182" s="25" t="s">
        <v>26</v>
      </c>
      <c r="J182" s="25" t="s">
        <v>33</v>
      </c>
      <c r="K182" s="25">
        <v>0</v>
      </c>
      <c r="L182" s="25">
        <v>0</v>
      </c>
      <c r="M182" s="25">
        <v>0</v>
      </c>
      <c r="N182" s="25">
        <v>0</v>
      </c>
      <c r="O182" s="25">
        <v>0</v>
      </c>
      <c r="P182" s="25"/>
      <c r="Q182" s="23" t="s">
        <v>28</v>
      </c>
      <c r="R182" s="23">
        <v>3</v>
      </c>
      <c r="S182" s="22">
        <v>4657241.91</v>
      </c>
      <c r="T182" s="22">
        <v>4210452.8</v>
      </c>
      <c r="U182" s="26" t="s">
        <v>278</v>
      </c>
    </row>
    <row r="183" spans="1:21" s="24" customFormat="1" ht="204" customHeight="1" x14ac:dyDescent="0.25">
      <c r="A183" s="23">
        <v>180</v>
      </c>
      <c r="B183" s="23">
        <v>2241668</v>
      </c>
      <c r="C183" s="23">
        <v>2015</v>
      </c>
      <c r="D183" s="23">
        <v>2024</v>
      </c>
      <c r="E183" s="23" t="s">
        <v>38</v>
      </c>
      <c r="F183" s="25" t="s">
        <v>92</v>
      </c>
      <c r="G183" s="25" t="s">
        <v>23</v>
      </c>
      <c r="H183" s="25" t="s">
        <v>64</v>
      </c>
      <c r="I183" s="25" t="s">
        <v>32</v>
      </c>
      <c r="J183" s="25" t="s">
        <v>33</v>
      </c>
      <c r="K183" s="25">
        <v>0</v>
      </c>
      <c r="L183" s="25">
        <v>0</v>
      </c>
      <c r="M183" s="25">
        <v>0</v>
      </c>
      <c r="N183" s="25">
        <v>0</v>
      </c>
      <c r="O183" s="25">
        <v>0</v>
      </c>
      <c r="P183" s="25"/>
      <c r="Q183" s="23" t="s">
        <v>28</v>
      </c>
      <c r="R183" s="23">
        <v>1</v>
      </c>
      <c r="S183" s="22">
        <v>4227246.8600000003</v>
      </c>
      <c r="T183" s="22">
        <v>3558072</v>
      </c>
      <c r="U183" s="26" t="s">
        <v>279</v>
      </c>
    </row>
    <row r="184" spans="1:21" s="24" customFormat="1" ht="395.25" customHeight="1" x14ac:dyDescent="0.25">
      <c r="A184" s="23">
        <v>181</v>
      </c>
      <c r="B184" s="23">
        <v>2281029</v>
      </c>
      <c r="C184" s="23" t="s">
        <v>43</v>
      </c>
      <c r="D184" s="23">
        <v>2024</v>
      </c>
      <c r="E184" s="23" t="s">
        <v>109</v>
      </c>
      <c r="F184" s="25" t="s">
        <v>36</v>
      </c>
      <c r="G184" s="25" t="s">
        <v>23</v>
      </c>
      <c r="H184" s="25" t="s">
        <v>24</v>
      </c>
      <c r="I184" s="25" t="s">
        <v>32</v>
      </c>
      <c r="J184" s="25" t="s">
        <v>33</v>
      </c>
      <c r="K184" s="25">
        <v>0</v>
      </c>
      <c r="L184" s="25">
        <v>0</v>
      </c>
      <c r="M184" s="25">
        <v>0</v>
      </c>
      <c r="N184" s="25">
        <v>0</v>
      </c>
      <c r="O184" s="25">
        <v>0</v>
      </c>
      <c r="P184" s="25"/>
      <c r="Q184" s="23" t="s">
        <v>28</v>
      </c>
      <c r="R184" s="23">
        <v>1</v>
      </c>
      <c r="S184" s="22">
        <v>4182577.58</v>
      </c>
      <c r="T184" s="22">
        <v>4564302</v>
      </c>
      <c r="U184" s="26" t="s">
        <v>280</v>
      </c>
    </row>
    <row r="185" spans="1:21" s="24" customFormat="1" ht="306" customHeight="1" x14ac:dyDescent="0.25">
      <c r="A185" s="23">
        <v>182</v>
      </c>
      <c r="B185" s="23">
        <v>2242727</v>
      </c>
      <c r="C185" s="23">
        <v>2017</v>
      </c>
      <c r="D185" s="23">
        <v>2024</v>
      </c>
      <c r="E185" s="23" t="s">
        <v>44</v>
      </c>
      <c r="F185" s="25" t="s">
        <v>23</v>
      </c>
      <c r="G185" s="25" t="s">
        <v>32</v>
      </c>
      <c r="H185" s="25" t="s">
        <v>33</v>
      </c>
      <c r="I185" s="25">
        <v>0</v>
      </c>
      <c r="J185" s="25">
        <v>0</v>
      </c>
      <c r="K185" s="25">
        <v>0</v>
      </c>
      <c r="L185" s="25">
        <v>0</v>
      </c>
      <c r="M185" s="25">
        <v>0</v>
      </c>
      <c r="N185" s="25">
        <v>0</v>
      </c>
      <c r="O185" s="25">
        <v>0</v>
      </c>
      <c r="P185" s="25"/>
      <c r="Q185" s="23" t="s">
        <v>41</v>
      </c>
      <c r="R185" s="23">
        <v>2</v>
      </c>
      <c r="S185" s="22">
        <v>2843407</v>
      </c>
      <c r="T185" s="22">
        <v>2917705</v>
      </c>
      <c r="U185" s="26" t="s">
        <v>281</v>
      </c>
    </row>
    <row r="186" spans="1:21" s="24" customFormat="1" ht="318.75" customHeight="1" x14ac:dyDescent="0.25">
      <c r="A186" s="23">
        <v>183</v>
      </c>
      <c r="B186" s="23">
        <v>2266642</v>
      </c>
      <c r="C186" s="23" t="s">
        <v>43</v>
      </c>
      <c r="D186" s="23">
        <v>2024</v>
      </c>
      <c r="E186" s="23" t="s">
        <v>44</v>
      </c>
      <c r="F186" s="25" t="s">
        <v>134</v>
      </c>
      <c r="G186" s="25" t="s">
        <v>60</v>
      </c>
      <c r="H186" s="25" t="s">
        <v>25</v>
      </c>
      <c r="I186" s="25" t="s">
        <v>32</v>
      </c>
      <c r="J186" s="25" t="s">
        <v>26</v>
      </c>
      <c r="K186" s="25" t="s">
        <v>33</v>
      </c>
      <c r="L186" s="25">
        <v>0</v>
      </c>
      <c r="M186" s="25">
        <v>0</v>
      </c>
      <c r="N186" s="25">
        <v>0</v>
      </c>
      <c r="O186" s="25">
        <v>0</v>
      </c>
      <c r="P186" s="25"/>
      <c r="Q186" s="23" t="s">
        <v>56</v>
      </c>
      <c r="R186" s="23">
        <v>1</v>
      </c>
      <c r="S186" s="22">
        <v>3695794.11</v>
      </c>
      <c r="T186" s="22">
        <v>1976464</v>
      </c>
      <c r="U186" s="26" t="s">
        <v>282</v>
      </c>
    </row>
    <row r="187" spans="1:21" s="24" customFormat="1" ht="409.5" customHeight="1" x14ac:dyDescent="0.25">
      <c r="A187" s="23">
        <v>184</v>
      </c>
      <c r="B187" s="23">
        <v>2189949</v>
      </c>
      <c r="C187" s="23">
        <v>2017</v>
      </c>
      <c r="D187" s="23">
        <v>2024</v>
      </c>
      <c r="E187" s="23" t="s">
        <v>36</v>
      </c>
      <c r="F187" s="25" t="s">
        <v>23</v>
      </c>
      <c r="G187" s="25" t="s">
        <v>32</v>
      </c>
      <c r="H187" s="25" t="s">
        <v>33</v>
      </c>
      <c r="I187" s="25">
        <v>0</v>
      </c>
      <c r="J187" s="25">
        <v>0</v>
      </c>
      <c r="K187" s="25">
        <v>0</v>
      </c>
      <c r="L187" s="25">
        <v>0</v>
      </c>
      <c r="M187" s="25">
        <v>0</v>
      </c>
      <c r="N187" s="25">
        <v>0</v>
      </c>
      <c r="O187" s="25">
        <v>0</v>
      </c>
      <c r="P187" s="25"/>
      <c r="Q187" s="23" t="s">
        <v>28</v>
      </c>
      <c r="R187" s="23">
        <v>1</v>
      </c>
      <c r="S187" s="22">
        <v>12681382.92</v>
      </c>
      <c r="T187" s="22">
        <v>11930459</v>
      </c>
      <c r="U187" s="26" t="s">
        <v>283</v>
      </c>
    </row>
    <row r="188" spans="1:21" s="24" customFormat="1" ht="140.25" customHeight="1" x14ac:dyDescent="0.25">
      <c r="A188" s="23">
        <v>185</v>
      </c>
      <c r="B188" s="23">
        <v>2245876</v>
      </c>
      <c r="C188" s="23" t="s">
        <v>43</v>
      </c>
      <c r="D188" s="23">
        <v>2024</v>
      </c>
      <c r="E188" s="23" t="s">
        <v>36</v>
      </c>
      <c r="F188" s="25" t="s">
        <v>23</v>
      </c>
      <c r="G188" s="25" t="s">
        <v>24</v>
      </c>
      <c r="H188" s="25" t="s">
        <v>32</v>
      </c>
      <c r="I188" s="25" t="s">
        <v>33</v>
      </c>
      <c r="J188" s="25">
        <v>0</v>
      </c>
      <c r="K188" s="25">
        <v>0</v>
      </c>
      <c r="L188" s="25">
        <v>0</v>
      </c>
      <c r="M188" s="25">
        <v>0</v>
      </c>
      <c r="N188" s="25">
        <v>0</v>
      </c>
      <c r="O188" s="25">
        <v>0</v>
      </c>
      <c r="P188" s="25"/>
      <c r="Q188" s="23" t="s">
        <v>28</v>
      </c>
      <c r="R188" s="23">
        <v>1</v>
      </c>
      <c r="S188" s="22">
        <v>3460861.22</v>
      </c>
      <c r="T188" s="22">
        <v>3429277</v>
      </c>
      <c r="U188" s="26" t="s">
        <v>284</v>
      </c>
    </row>
    <row r="189" spans="1:21" s="24" customFormat="1" ht="409.5" customHeight="1" x14ac:dyDescent="0.25">
      <c r="A189" s="23">
        <v>186</v>
      </c>
      <c r="B189" s="23">
        <v>2321932</v>
      </c>
      <c r="C189" s="23" t="s">
        <v>43</v>
      </c>
      <c r="D189" s="23">
        <v>2024</v>
      </c>
      <c r="E189" s="23" t="s">
        <v>36</v>
      </c>
      <c r="F189" s="25" t="s">
        <v>134</v>
      </c>
      <c r="G189" s="25" t="s">
        <v>101</v>
      </c>
      <c r="H189" s="25" t="s">
        <v>39</v>
      </c>
      <c r="I189" s="25" t="s">
        <v>32</v>
      </c>
      <c r="J189" s="25" t="s">
        <v>33</v>
      </c>
      <c r="K189" s="25">
        <v>0</v>
      </c>
      <c r="L189" s="25">
        <v>0</v>
      </c>
      <c r="M189" s="25">
        <v>0</v>
      </c>
      <c r="N189" s="25">
        <v>0</v>
      </c>
      <c r="O189" s="25">
        <v>0</v>
      </c>
      <c r="P189" s="25"/>
      <c r="Q189" s="23" t="s">
        <v>28</v>
      </c>
      <c r="R189" s="23">
        <v>5</v>
      </c>
      <c r="S189" s="22">
        <v>7570507.9400000004</v>
      </c>
      <c r="T189" s="22">
        <v>8412689</v>
      </c>
      <c r="U189" s="26" t="s">
        <v>285</v>
      </c>
    </row>
    <row r="190" spans="1:21" s="24" customFormat="1" ht="409.5" customHeight="1" x14ac:dyDescent="0.25">
      <c r="A190" s="23">
        <v>187</v>
      </c>
      <c r="B190" s="23">
        <v>2304589</v>
      </c>
      <c r="C190" s="23" t="s">
        <v>43</v>
      </c>
      <c r="D190" s="23">
        <v>2024</v>
      </c>
      <c r="E190" s="23" t="s">
        <v>36</v>
      </c>
      <c r="F190" s="25" t="s">
        <v>49</v>
      </c>
      <c r="G190" s="25" t="s">
        <v>24</v>
      </c>
      <c r="H190" s="25" t="s">
        <v>64</v>
      </c>
      <c r="I190" s="25" t="s">
        <v>39</v>
      </c>
      <c r="J190" s="25" t="s">
        <v>25</v>
      </c>
      <c r="K190" s="25" t="s">
        <v>33</v>
      </c>
      <c r="L190" s="25">
        <v>0</v>
      </c>
      <c r="M190" s="25">
        <v>0</v>
      </c>
      <c r="N190" s="25">
        <v>0</v>
      </c>
      <c r="O190" s="25">
        <v>0</v>
      </c>
      <c r="P190" s="25"/>
      <c r="Q190" s="23" t="s">
        <v>28</v>
      </c>
      <c r="R190" s="23">
        <v>6</v>
      </c>
      <c r="S190" s="22">
        <v>19489098.219999999</v>
      </c>
      <c r="T190" s="22">
        <v>24837097</v>
      </c>
      <c r="U190" s="26" t="s">
        <v>286</v>
      </c>
    </row>
    <row r="191" spans="1:21" s="24" customFormat="1" ht="280.5" customHeight="1" x14ac:dyDescent="0.25">
      <c r="A191" s="23">
        <v>188</v>
      </c>
      <c r="B191" s="23">
        <v>2452021</v>
      </c>
      <c r="C191" s="23">
        <v>2021</v>
      </c>
      <c r="D191" s="23">
        <v>2024</v>
      </c>
      <c r="E191" s="23" t="s">
        <v>197</v>
      </c>
      <c r="F191" s="25" t="s">
        <v>32</v>
      </c>
      <c r="G191" s="25" t="s">
        <v>72</v>
      </c>
      <c r="H191" s="25" t="s">
        <v>33</v>
      </c>
      <c r="I191" s="25">
        <v>0</v>
      </c>
      <c r="J191" s="25">
        <v>0</v>
      </c>
      <c r="K191" s="25">
        <v>0</v>
      </c>
      <c r="L191" s="25">
        <v>0</v>
      </c>
      <c r="M191" s="25">
        <v>0</v>
      </c>
      <c r="N191" s="25">
        <v>0</v>
      </c>
      <c r="O191" s="25">
        <v>0</v>
      </c>
      <c r="P191" s="25"/>
      <c r="Q191" s="23" t="s">
        <v>28</v>
      </c>
      <c r="R191" s="23">
        <v>1</v>
      </c>
      <c r="S191" s="22">
        <v>15068937.91</v>
      </c>
      <c r="T191" s="22">
        <v>14254340</v>
      </c>
      <c r="U191" s="26" t="s">
        <v>287</v>
      </c>
    </row>
    <row r="192" spans="1:21" s="24" customFormat="1" ht="408" customHeight="1" x14ac:dyDescent="0.25">
      <c r="A192" s="23">
        <v>189</v>
      </c>
      <c r="B192" s="23">
        <v>2163170</v>
      </c>
      <c r="C192" s="23">
        <v>2015</v>
      </c>
      <c r="D192" s="23">
        <v>2024</v>
      </c>
      <c r="E192" s="23" t="s">
        <v>38</v>
      </c>
      <c r="F192" s="25" t="s">
        <v>21</v>
      </c>
      <c r="G192" s="25" t="s">
        <v>33</v>
      </c>
      <c r="H192" s="25">
        <v>0</v>
      </c>
      <c r="I192" s="25">
        <v>0</v>
      </c>
      <c r="J192" s="25">
        <v>0</v>
      </c>
      <c r="K192" s="25">
        <v>0</v>
      </c>
      <c r="L192" s="25">
        <v>0</v>
      </c>
      <c r="M192" s="25">
        <v>0</v>
      </c>
      <c r="N192" s="25">
        <v>0</v>
      </c>
      <c r="O192" s="25">
        <v>0</v>
      </c>
      <c r="P192" s="25"/>
      <c r="Q192" s="23" t="s">
        <v>28</v>
      </c>
      <c r="R192" s="23">
        <v>1</v>
      </c>
      <c r="S192" s="22">
        <v>8575133.0199999996</v>
      </c>
      <c r="T192" s="22">
        <v>2216401</v>
      </c>
      <c r="U192" s="26" t="s">
        <v>288</v>
      </c>
    </row>
    <row r="193" spans="1:21" s="24" customFormat="1" ht="409.5" customHeight="1" x14ac:dyDescent="0.25">
      <c r="A193" s="23">
        <v>190</v>
      </c>
      <c r="B193" s="23">
        <v>2452536</v>
      </c>
      <c r="C193" s="23">
        <v>2021</v>
      </c>
      <c r="D193" s="23">
        <v>2024</v>
      </c>
      <c r="E193" s="23" t="s">
        <v>70</v>
      </c>
      <c r="F193" s="25" t="s">
        <v>71</v>
      </c>
      <c r="G193" s="25" t="s">
        <v>72</v>
      </c>
      <c r="H193" s="25" t="s">
        <v>33</v>
      </c>
      <c r="I193" s="25">
        <v>0</v>
      </c>
      <c r="J193" s="25">
        <v>0</v>
      </c>
      <c r="K193" s="25">
        <v>0</v>
      </c>
      <c r="L193" s="25">
        <v>0</v>
      </c>
      <c r="M193" s="25">
        <v>0</v>
      </c>
      <c r="N193" s="25">
        <v>0</v>
      </c>
      <c r="O193" s="25">
        <v>0</v>
      </c>
      <c r="P193" s="25"/>
      <c r="Q193" s="23" t="s">
        <v>28</v>
      </c>
      <c r="R193" s="23">
        <v>5</v>
      </c>
      <c r="S193" s="22">
        <v>31434906.850000001</v>
      </c>
      <c r="T193" s="22">
        <v>31675205</v>
      </c>
      <c r="U193" s="26" t="s">
        <v>289</v>
      </c>
    </row>
    <row r="194" spans="1:21" s="24" customFormat="1" ht="178.5" customHeight="1" x14ac:dyDescent="0.25">
      <c r="A194" s="23">
        <v>191</v>
      </c>
      <c r="B194" s="23">
        <v>2300940</v>
      </c>
      <c r="C194" s="23">
        <v>2021</v>
      </c>
      <c r="D194" s="23">
        <v>2024</v>
      </c>
      <c r="E194" s="23" t="s">
        <v>225</v>
      </c>
      <c r="F194" s="25" t="s">
        <v>72</v>
      </c>
      <c r="G194" s="25" t="s">
        <v>33</v>
      </c>
      <c r="H194" s="25">
        <v>0</v>
      </c>
      <c r="I194" s="25">
        <v>0</v>
      </c>
      <c r="J194" s="25">
        <v>0</v>
      </c>
      <c r="K194" s="25">
        <v>0</v>
      </c>
      <c r="L194" s="25">
        <v>0</v>
      </c>
      <c r="M194" s="25">
        <v>0</v>
      </c>
      <c r="N194" s="25">
        <v>0</v>
      </c>
      <c r="O194" s="25">
        <v>0</v>
      </c>
      <c r="P194" s="25"/>
      <c r="Q194" s="23" t="s">
        <v>41</v>
      </c>
      <c r="R194" s="23">
        <v>1</v>
      </c>
      <c r="S194" s="22">
        <v>12530625.060000001</v>
      </c>
      <c r="T194" s="22">
        <v>12005342</v>
      </c>
      <c r="U194" s="26" t="s">
        <v>290</v>
      </c>
    </row>
    <row r="195" spans="1:21" s="24" customFormat="1" ht="357" customHeight="1" x14ac:dyDescent="0.25">
      <c r="A195" s="23">
        <v>192</v>
      </c>
      <c r="B195" s="23">
        <v>2333135</v>
      </c>
      <c r="C195" s="23">
        <v>2021</v>
      </c>
      <c r="D195" s="23">
        <v>2026</v>
      </c>
      <c r="E195" s="23" t="s">
        <v>70</v>
      </c>
      <c r="F195" s="25" t="s">
        <v>71</v>
      </c>
      <c r="G195" s="25" t="s">
        <v>72</v>
      </c>
      <c r="H195" s="25" t="s">
        <v>33</v>
      </c>
      <c r="I195" s="25" t="s">
        <v>40</v>
      </c>
      <c r="J195" s="25">
        <v>0</v>
      </c>
      <c r="K195" s="25">
        <v>0</v>
      </c>
      <c r="L195" s="25">
        <v>0</v>
      </c>
      <c r="M195" s="25">
        <v>0</v>
      </c>
      <c r="N195" s="25">
        <v>0</v>
      </c>
      <c r="O195" s="25">
        <v>0</v>
      </c>
      <c r="P195" s="25"/>
      <c r="Q195" s="23" t="s">
        <v>28</v>
      </c>
      <c r="R195" s="23">
        <v>1</v>
      </c>
      <c r="S195" s="22">
        <v>14499939.119999999</v>
      </c>
      <c r="T195" s="22">
        <v>15501869</v>
      </c>
      <c r="U195" s="26" t="s">
        <v>291</v>
      </c>
    </row>
    <row r="196" spans="1:21" s="24" customFormat="1" ht="409.5" customHeight="1" x14ac:dyDescent="0.25">
      <c r="A196" s="23">
        <v>193</v>
      </c>
      <c r="B196" s="23">
        <v>2337641</v>
      </c>
      <c r="C196" s="23">
        <v>2021</v>
      </c>
      <c r="D196" s="23">
        <v>2024</v>
      </c>
      <c r="E196" s="23" t="s">
        <v>70</v>
      </c>
      <c r="F196" s="25" t="s">
        <v>71</v>
      </c>
      <c r="G196" s="25" t="s">
        <v>72</v>
      </c>
      <c r="H196" s="25" t="s">
        <v>33</v>
      </c>
      <c r="I196" s="25">
        <v>0</v>
      </c>
      <c r="J196" s="25">
        <v>0</v>
      </c>
      <c r="K196" s="25">
        <v>0</v>
      </c>
      <c r="L196" s="25">
        <v>0</v>
      </c>
      <c r="M196" s="25">
        <v>0</v>
      </c>
      <c r="N196" s="25">
        <v>0</v>
      </c>
      <c r="O196" s="25">
        <v>0</v>
      </c>
      <c r="P196" s="25"/>
      <c r="Q196" s="23" t="s">
        <v>41</v>
      </c>
      <c r="R196" s="23">
        <v>1</v>
      </c>
      <c r="S196" s="22">
        <v>2994429.56</v>
      </c>
      <c r="T196" s="22">
        <v>3079878</v>
      </c>
      <c r="U196" s="26" t="s">
        <v>292</v>
      </c>
    </row>
    <row r="197" spans="1:21" s="24" customFormat="1" ht="165.75" customHeight="1" x14ac:dyDescent="0.25">
      <c r="A197" s="23">
        <v>194</v>
      </c>
      <c r="B197" s="23">
        <v>2453808</v>
      </c>
      <c r="C197" s="23">
        <v>2021</v>
      </c>
      <c r="D197" s="23">
        <v>2024</v>
      </c>
      <c r="E197" s="23" t="s">
        <v>70</v>
      </c>
      <c r="F197" s="25" t="s">
        <v>71</v>
      </c>
      <c r="G197" s="25" t="s">
        <v>72</v>
      </c>
      <c r="H197" s="25" t="s">
        <v>33</v>
      </c>
      <c r="I197" s="25">
        <v>0</v>
      </c>
      <c r="J197" s="25">
        <v>0</v>
      </c>
      <c r="K197" s="25">
        <v>0</v>
      </c>
      <c r="L197" s="25">
        <v>0</v>
      </c>
      <c r="M197" s="25">
        <v>0</v>
      </c>
      <c r="N197" s="25">
        <v>0</v>
      </c>
      <c r="O197" s="25">
        <v>0</v>
      </c>
      <c r="P197" s="25"/>
      <c r="Q197" s="23" t="s">
        <v>28</v>
      </c>
      <c r="R197" s="23">
        <v>4</v>
      </c>
      <c r="S197" s="22">
        <v>14955086.23</v>
      </c>
      <c r="T197" s="22">
        <v>14615868</v>
      </c>
      <c r="U197" s="26" t="s">
        <v>293</v>
      </c>
    </row>
    <row r="198" spans="1:21" s="24" customFormat="1" ht="216.75" customHeight="1" x14ac:dyDescent="0.25">
      <c r="A198" s="23">
        <v>195</v>
      </c>
      <c r="B198" s="23">
        <v>2300152</v>
      </c>
      <c r="C198" s="23">
        <v>2021</v>
      </c>
      <c r="D198" s="23">
        <v>2024</v>
      </c>
      <c r="E198" s="23" t="s">
        <v>70</v>
      </c>
      <c r="F198" s="25" t="s">
        <v>71</v>
      </c>
      <c r="G198" s="25" t="s">
        <v>72</v>
      </c>
      <c r="H198" s="25" t="s">
        <v>33</v>
      </c>
      <c r="I198" s="25">
        <v>0</v>
      </c>
      <c r="J198" s="25">
        <v>0</v>
      </c>
      <c r="K198" s="25">
        <v>0</v>
      </c>
      <c r="L198" s="25">
        <v>0</v>
      </c>
      <c r="M198" s="25">
        <v>0</v>
      </c>
      <c r="N198" s="25">
        <v>0</v>
      </c>
      <c r="O198" s="25">
        <v>0</v>
      </c>
      <c r="P198" s="25"/>
      <c r="Q198" s="23" t="s">
        <v>28</v>
      </c>
      <c r="R198" s="23">
        <v>1</v>
      </c>
      <c r="S198" s="22">
        <v>4781431.04</v>
      </c>
      <c r="T198" s="22">
        <v>4677747</v>
      </c>
      <c r="U198" s="26" t="s">
        <v>294</v>
      </c>
    </row>
    <row r="199" spans="1:21" s="24" customFormat="1" ht="204" customHeight="1" x14ac:dyDescent="0.25">
      <c r="A199" s="23">
        <v>196</v>
      </c>
      <c r="B199" s="23">
        <v>2313903</v>
      </c>
      <c r="C199" s="23">
        <v>2021</v>
      </c>
      <c r="D199" s="23">
        <v>2024</v>
      </c>
      <c r="E199" s="23" t="s">
        <v>70</v>
      </c>
      <c r="F199" s="25" t="s">
        <v>71</v>
      </c>
      <c r="G199" s="25" t="s">
        <v>72</v>
      </c>
      <c r="H199" s="25" t="s">
        <v>33</v>
      </c>
      <c r="I199" s="25">
        <v>0</v>
      </c>
      <c r="J199" s="25">
        <v>0</v>
      </c>
      <c r="K199" s="25">
        <v>0</v>
      </c>
      <c r="L199" s="25">
        <v>0</v>
      </c>
      <c r="M199" s="25">
        <v>0</v>
      </c>
      <c r="N199" s="25">
        <v>0</v>
      </c>
      <c r="O199" s="25">
        <v>0</v>
      </c>
      <c r="P199" s="25"/>
      <c r="Q199" s="23" t="s">
        <v>28</v>
      </c>
      <c r="R199" s="23">
        <v>1</v>
      </c>
      <c r="S199" s="22">
        <v>13727714.210000001</v>
      </c>
      <c r="T199" s="22">
        <v>13209924</v>
      </c>
      <c r="U199" s="26" t="s">
        <v>295</v>
      </c>
    </row>
    <row r="200" spans="1:21" s="24" customFormat="1" ht="409.5" customHeight="1" x14ac:dyDescent="0.25">
      <c r="A200" s="23">
        <v>197</v>
      </c>
      <c r="B200" s="23">
        <v>2292662</v>
      </c>
      <c r="C200" s="23">
        <v>2021</v>
      </c>
      <c r="D200" s="23">
        <v>2025</v>
      </c>
      <c r="E200" s="23" t="s">
        <v>70</v>
      </c>
      <c r="F200" s="25" t="s">
        <v>71</v>
      </c>
      <c r="G200" s="25" t="s">
        <v>72</v>
      </c>
      <c r="H200" s="25" t="s">
        <v>33</v>
      </c>
      <c r="I200" s="25" t="s">
        <v>51</v>
      </c>
      <c r="J200" s="25" t="s">
        <v>216</v>
      </c>
      <c r="K200" s="25">
        <v>0</v>
      </c>
      <c r="L200" s="25">
        <v>0</v>
      </c>
      <c r="M200" s="25">
        <v>0</v>
      </c>
      <c r="N200" s="25">
        <v>0</v>
      </c>
      <c r="O200" s="25">
        <v>0</v>
      </c>
      <c r="P200" s="25"/>
      <c r="Q200" s="23" t="s">
        <v>28</v>
      </c>
      <c r="R200" s="23">
        <v>1</v>
      </c>
      <c r="S200" s="22">
        <v>8084931.6900000004</v>
      </c>
      <c r="T200" s="22">
        <v>9051092</v>
      </c>
      <c r="U200" s="26" t="s">
        <v>296</v>
      </c>
    </row>
    <row r="201" spans="1:21" s="24" customFormat="1" ht="216.75" customHeight="1" x14ac:dyDescent="0.25">
      <c r="A201" s="23">
        <v>198</v>
      </c>
      <c r="B201" s="23">
        <v>2289090</v>
      </c>
      <c r="C201" s="23">
        <v>2021</v>
      </c>
      <c r="D201" s="23">
        <v>2024</v>
      </c>
      <c r="E201" s="23" t="s">
        <v>70</v>
      </c>
      <c r="F201" s="25" t="s">
        <v>71</v>
      </c>
      <c r="G201" s="25" t="s">
        <v>72</v>
      </c>
      <c r="H201" s="25" t="s">
        <v>33</v>
      </c>
      <c r="I201" s="25">
        <v>0</v>
      </c>
      <c r="J201" s="25">
        <v>0</v>
      </c>
      <c r="K201" s="25">
        <v>0</v>
      </c>
      <c r="L201" s="25">
        <v>0</v>
      </c>
      <c r="M201" s="25">
        <v>0</v>
      </c>
      <c r="N201" s="25">
        <v>0</v>
      </c>
      <c r="O201" s="25">
        <v>0</v>
      </c>
      <c r="P201" s="25"/>
      <c r="Q201" s="23" t="s">
        <v>28</v>
      </c>
      <c r="R201" s="23">
        <v>1</v>
      </c>
      <c r="S201" s="22">
        <v>6094828.1200000001</v>
      </c>
      <c r="T201" s="22">
        <v>6936466</v>
      </c>
      <c r="U201" s="26" t="s">
        <v>297</v>
      </c>
    </row>
    <row r="202" spans="1:21" s="24" customFormat="1" ht="409.5" customHeight="1" x14ac:dyDescent="0.25">
      <c r="A202" s="23">
        <v>199</v>
      </c>
      <c r="B202" s="23">
        <v>2151282</v>
      </c>
      <c r="C202" s="23">
        <v>2021</v>
      </c>
      <c r="D202" s="23">
        <v>2024</v>
      </c>
      <c r="E202" s="23" t="s">
        <v>70</v>
      </c>
      <c r="F202" s="25" t="s">
        <v>75</v>
      </c>
      <c r="G202" s="25" t="s">
        <v>72</v>
      </c>
      <c r="H202" s="25" t="s">
        <v>33</v>
      </c>
      <c r="I202" s="25">
        <v>0</v>
      </c>
      <c r="J202" s="25">
        <v>0</v>
      </c>
      <c r="K202" s="25">
        <v>0</v>
      </c>
      <c r="L202" s="25">
        <v>0</v>
      </c>
      <c r="M202" s="25">
        <v>0</v>
      </c>
      <c r="N202" s="25">
        <v>0</v>
      </c>
      <c r="O202" s="25">
        <v>0</v>
      </c>
      <c r="P202" s="25"/>
      <c r="Q202" s="23" t="s">
        <v>28</v>
      </c>
      <c r="R202" s="23">
        <v>1</v>
      </c>
      <c r="S202" s="22">
        <v>14885077.99</v>
      </c>
      <c r="T202" s="22">
        <v>16739491</v>
      </c>
      <c r="U202" s="26" t="s">
        <v>298</v>
      </c>
    </row>
    <row r="203" spans="1:21" s="24" customFormat="1" ht="409.5" customHeight="1" x14ac:dyDescent="0.25">
      <c r="A203" s="23">
        <v>200</v>
      </c>
      <c r="B203" s="23">
        <v>2416279</v>
      </c>
      <c r="C203" s="23">
        <v>2022</v>
      </c>
      <c r="D203" s="23">
        <v>2026</v>
      </c>
      <c r="E203" s="23" t="s">
        <v>299</v>
      </c>
      <c r="F203" s="25" t="s">
        <v>72</v>
      </c>
      <c r="G203" s="25" t="s">
        <v>33</v>
      </c>
      <c r="H203" s="25" t="s">
        <v>40</v>
      </c>
      <c r="I203" s="25">
        <v>0</v>
      </c>
      <c r="J203" s="25">
        <v>0</v>
      </c>
      <c r="K203" s="25">
        <v>0</v>
      </c>
      <c r="L203" s="25">
        <v>0</v>
      </c>
      <c r="M203" s="25">
        <v>0</v>
      </c>
      <c r="N203" s="25">
        <v>0</v>
      </c>
      <c r="O203" s="25">
        <v>0</v>
      </c>
      <c r="P203" s="25"/>
      <c r="Q203" s="23" t="s">
        <v>179</v>
      </c>
      <c r="R203" s="23">
        <v>1</v>
      </c>
      <c r="S203" s="22">
        <v>4079147.66</v>
      </c>
      <c r="T203" s="22">
        <v>7119678</v>
      </c>
      <c r="U203" s="26" t="s">
        <v>300</v>
      </c>
    </row>
    <row r="204" spans="1:21" s="24" customFormat="1" ht="229.5" customHeight="1" x14ac:dyDescent="0.25">
      <c r="A204" s="23">
        <v>201</v>
      </c>
      <c r="B204" s="23">
        <v>2322614</v>
      </c>
      <c r="C204" s="23">
        <v>2022</v>
      </c>
      <c r="D204" s="30">
        <v>2024</v>
      </c>
      <c r="E204" s="23" t="s">
        <v>78</v>
      </c>
      <c r="F204" s="25" t="s">
        <v>26</v>
      </c>
      <c r="G204" s="25" t="s">
        <v>72</v>
      </c>
      <c r="H204" s="25" t="s">
        <v>33</v>
      </c>
      <c r="I204" s="25">
        <v>0</v>
      </c>
      <c r="J204" s="25">
        <v>0</v>
      </c>
      <c r="K204" s="25">
        <v>0</v>
      </c>
      <c r="L204" s="25">
        <v>0</v>
      </c>
      <c r="M204" s="25">
        <v>0</v>
      </c>
      <c r="N204" s="25">
        <v>0</v>
      </c>
      <c r="O204" s="25">
        <v>0</v>
      </c>
      <c r="P204" s="25"/>
      <c r="Q204" s="23" t="s">
        <v>28</v>
      </c>
      <c r="R204" s="23">
        <v>1</v>
      </c>
      <c r="S204" s="22">
        <v>8896499.3800000008</v>
      </c>
      <c r="T204" s="22">
        <v>8955131</v>
      </c>
      <c r="U204" s="26" t="s">
        <v>301</v>
      </c>
    </row>
    <row r="205" spans="1:21" s="24" customFormat="1" ht="409.5" customHeight="1" x14ac:dyDescent="0.25">
      <c r="A205" s="23">
        <v>202</v>
      </c>
      <c r="B205" s="23">
        <v>2234552</v>
      </c>
      <c r="C205" s="23">
        <v>2017</v>
      </c>
      <c r="D205" s="30">
        <v>2026</v>
      </c>
      <c r="E205" s="23" t="s">
        <v>44</v>
      </c>
      <c r="F205" s="25" t="s">
        <v>25</v>
      </c>
      <c r="G205" s="25" t="s">
        <v>32</v>
      </c>
      <c r="H205" s="25" t="s">
        <v>26</v>
      </c>
      <c r="I205" s="25" t="s">
        <v>52</v>
      </c>
      <c r="J205" s="25" t="s">
        <v>40</v>
      </c>
      <c r="K205" s="25">
        <v>0</v>
      </c>
      <c r="L205" s="25">
        <v>0</v>
      </c>
      <c r="M205" s="25">
        <v>0</v>
      </c>
      <c r="N205" s="25">
        <v>0</v>
      </c>
      <c r="O205" s="25">
        <v>0</v>
      </c>
      <c r="P205" s="25"/>
      <c r="Q205" s="23" t="s">
        <v>56</v>
      </c>
      <c r="R205" s="23">
        <v>6</v>
      </c>
      <c r="S205" s="22">
        <v>12816295.210000001</v>
      </c>
      <c r="T205" s="22">
        <v>12718609</v>
      </c>
      <c r="U205" s="26" t="s">
        <v>302</v>
      </c>
    </row>
    <row r="206" spans="1:21" s="24" customFormat="1" ht="409.5" customHeight="1" x14ac:dyDescent="0.25">
      <c r="A206" s="23">
        <v>203</v>
      </c>
      <c r="B206" s="23">
        <v>2202477</v>
      </c>
      <c r="C206" s="23" t="s">
        <v>43</v>
      </c>
      <c r="D206" s="30">
        <v>2022</v>
      </c>
      <c r="E206" s="23" t="s">
        <v>44</v>
      </c>
      <c r="F206" s="25" t="s">
        <v>32</v>
      </c>
      <c r="G206" s="25">
        <v>0</v>
      </c>
      <c r="H206" s="25">
        <v>0</v>
      </c>
      <c r="I206" s="25">
        <v>0</v>
      </c>
      <c r="J206" s="25">
        <v>0</v>
      </c>
      <c r="K206" s="25">
        <v>0</v>
      </c>
      <c r="L206" s="25">
        <v>0</v>
      </c>
      <c r="M206" s="25">
        <v>0</v>
      </c>
      <c r="N206" s="25">
        <v>0</v>
      </c>
      <c r="O206" s="25">
        <v>0</v>
      </c>
      <c r="P206" s="25"/>
      <c r="Q206" s="23" t="s">
        <v>76</v>
      </c>
      <c r="R206" s="23">
        <v>5</v>
      </c>
      <c r="S206" s="22">
        <v>15378564.51</v>
      </c>
      <c r="T206" s="22">
        <v>6555864</v>
      </c>
      <c r="U206" s="26" t="s">
        <v>303</v>
      </c>
    </row>
    <row r="207" spans="1:21" s="24" customFormat="1" ht="409.5" customHeight="1" x14ac:dyDescent="0.25">
      <c r="A207" s="23">
        <v>204</v>
      </c>
      <c r="B207" s="23">
        <v>2247344</v>
      </c>
      <c r="C207" s="23" t="s">
        <v>43</v>
      </c>
      <c r="D207" s="30">
        <v>2022</v>
      </c>
      <c r="E207" s="23" t="s">
        <v>36</v>
      </c>
      <c r="F207" s="25" t="s">
        <v>25</v>
      </c>
      <c r="G207" s="25" t="s">
        <v>32</v>
      </c>
      <c r="H207" s="25">
        <v>0</v>
      </c>
      <c r="I207" s="25">
        <v>0</v>
      </c>
      <c r="J207" s="25">
        <v>0</v>
      </c>
      <c r="K207" s="25">
        <v>0</v>
      </c>
      <c r="L207" s="25">
        <v>0</v>
      </c>
      <c r="M207" s="25">
        <v>0</v>
      </c>
      <c r="N207" s="25">
        <v>0</v>
      </c>
      <c r="O207" s="25">
        <v>0</v>
      </c>
      <c r="P207" s="25"/>
      <c r="Q207" s="23" t="s">
        <v>34</v>
      </c>
      <c r="R207" s="23">
        <v>1</v>
      </c>
      <c r="S207" s="22">
        <v>38250056.979999997</v>
      </c>
      <c r="T207" s="22">
        <v>24951596</v>
      </c>
      <c r="U207" s="26" t="s">
        <v>304</v>
      </c>
    </row>
    <row r="208" spans="1:21" s="24" customFormat="1" ht="331.5" customHeight="1" x14ac:dyDescent="0.25">
      <c r="A208" s="23">
        <v>205</v>
      </c>
      <c r="B208" s="23">
        <v>2501612</v>
      </c>
      <c r="C208" s="23">
        <v>2022</v>
      </c>
      <c r="D208" s="30">
        <v>2026</v>
      </c>
      <c r="E208" s="23" t="s">
        <v>78</v>
      </c>
      <c r="F208" s="25" t="s">
        <v>26</v>
      </c>
      <c r="G208" s="25" t="s">
        <v>72</v>
      </c>
      <c r="H208" s="25" t="s">
        <v>40</v>
      </c>
      <c r="I208" s="25">
        <v>0</v>
      </c>
      <c r="J208" s="25">
        <v>0</v>
      </c>
      <c r="K208" s="25">
        <v>0</v>
      </c>
      <c r="L208" s="25">
        <v>0</v>
      </c>
      <c r="M208" s="25">
        <v>0</v>
      </c>
      <c r="N208" s="25">
        <v>0</v>
      </c>
      <c r="O208" s="25">
        <v>0</v>
      </c>
      <c r="P208" s="25"/>
      <c r="Q208" s="23" t="s">
        <v>28</v>
      </c>
      <c r="R208" s="23">
        <v>1</v>
      </c>
      <c r="S208" s="22">
        <v>17779826.93</v>
      </c>
      <c r="T208" s="22">
        <v>18057568</v>
      </c>
      <c r="U208" s="26" t="s">
        <v>305</v>
      </c>
    </row>
    <row r="209" spans="1:21" s="24" customFormat="1" ht="382.5" customHeight="1" x14ac:dyDescent="0.25">
      <c r="A209" s="23">
        <v>206</v>
      </c>
      <c r="B209" s="23">
        <v>2453075</v>
      </c>
      <c r="C209" s="23">
        <v>2023</v>
      </c>
      <c r="D209" s="30">
        <v>2023</v>
      </c>
      <c r="E209" s="23" t="s">
        <v>306</v>
      </c>
      <c r="F209" s="25">
        <v>0</v>
      </c>
      <c r="G209" s="25">
        <v>0</v>
      </c>
      <c r="H209" s="25">
        <v>0</v>
      </c>
      <c r="I209" s="25">
        <v>0</v>
      </c>
      <c r="J209" s="25">
        <v>0</v>
      </c>
      <c r="K209" s="25">
        <v>0</v>
      </c>
      <c r="L209" s="25">
        <v>0</v>
      </c>
      <c r="M209" s="25">
        <v>0</v>
      </c>
      <c r="N209" s="25">
        <v>0</v>
      </c>
      <c r="O209" s="25">
        <v>0</v>
      </c>
      <c r="P209" s="25"/>
      <c r="Q209" s="23" t="s">
        <v>28</v>
      </c>
      <c r="R209" s="23">
        <v>1</v>
      </c>
      <c r="S209" s="22">
        <v>2931469.08</v>
      </c>
      <c r="T209" s="22">
        <v>2901469</v>
      </c>
      <c r="U209" s="26" t="s">
        <v>307</v>
      </c>
    </row>
    <row r="210" spans="1:21" s="24" customFormat="1" ht="382.5" customHeight="1" x14ac:dyDescent="0.25">
      <c r="A210" s="23">
        <v>207</v>
      </c>
      <c r="B210" s="23">
        <v>2483171</v>
      </c>
      <c r="C210" s="23">
        <v>2021</v>
      </c>
      <c r="D210" s="30">
        <v>2024</v>
      </c>
      <c r="E210" s="23" t="s">
        <v>70</v>
      </c>
      <c r="F210" s="25" t="s">
        <v>71</v>
      </c>
      <c r="G210" s="25" t="s">
        <v>72</v>
      </c>
      <c r="H210" s="25" t="s">
        <v>33</v>
      </c>
      <c r="I210" s="25">
        <v>0</v>
      </c>
      <c r="J210" s="25">
        <v>0</v>
      </c>
      <c r="K210" s="25">
        <v>0</v>
      </c>
      <c r="L210" s="25">
        <v>0</v>
      </c>
      <c r="M210" s="25">
        <v>0</v>
      </c>
      <c r="N210" s="25">
        <v>0</v>
      </c>
      <c r="O210" s="25">
        <v>0</v>
      </c>
      <c r="P210" s="25"/>
      <c r="Q210" s="23" t="s">
        <v>28</v>
      </c>
      <c r="R210" s="23">
        <v>1</v>
      </c>
      <c r="S210" s="22">
        <v>6162941.5999999996</v>
      </c>
      <c r="T210" s="22">
        <v>5849741</v>
      </c>
      <c r="U210" s="26" t="s">
        <v>308</v>
      </c>
    </row>
    <row r="211" spans="1:21" s="24" customFormat="1" ht="318.75" customHeight="1" x14ac:dyDescent="0.25">
      <c r="A211" s="23">
        <v>208</v>
      </c>
      <c r="B211" s="23">
        <v>2261295</v>
      </c>
      <c r="C211" s="23">
        <v>2023</v>
      </c>
      <c r="D211" s="30">
        <v>2026</v>
      </c>
      <c r="E211" s="23" t="s">
        <v>276</v>
      </c>
      <c r="F211" s="25" t="s">
        <v>40</v>
      </c>
      <c r="G211" s="25">
        <v>0</v>
      </c>
      <c r="H211" s="25">
        <v>0</v>
      </c>
      <c r="I211" s="25">
        <v>0</v>
      </c>
      <c r="J211" s="25">
        <v>0</v>
      </c>
      <c r="K211" s="25">
        <v>0</v>
      </c>
      <c r="L211" s="25">
        <v>0</v>
      </c>
      <c r="M211" s="25">
        <v>0</v>
      </c>
      <c r="N211" s="25">
        <v>0</v>
      </c>
      <c r="O211" s="25">
        <v>0</v>
      </c>
      <c r="P211" s="25"/>
      <c r="Q211" s="23" t="s">
        <v>76</v>
      </c>
      <c r="R211" s="23">
        <v>2</v>
      </c>
      <c r="S211" s="22">
        <v>14051033.890000001</v>
      </c>
      <c r="T211" s="22">
        <v>8683405</v>
      </c>
      <c r="U211" s="26" t="s">
        <v>309</v>
      </c>
    </row>
    <row r="212" spans="1:21" s="24" customFormat="1" ht="242.25" customHeight="1" x14ac:dyDescent="0.25">
      <c r="A212" s="23">
        <v>209</v>
      </c>
      <c r="B212" s="23">
        <v>2472616</v>
      </c>
      <c r="C212" s="23">
        <v>2025</v>
      </c>
      <c r="D212" s="30">
        <v>2025</v>
      </c>
      <c r="E212" s="23" t="s">
        <v>250</v>
      </c>
      <c r="F212" s="25">
        <v>0</v>
      </c>
      <c r="G212" s="25">
        <v>0</v>
      </c>
      <c r="H212" s="25">
        <v>0</v>
      </c>
      <c r="I212" s="25">
        <v>0</v>
      </c>
      <c r="J212" s="25">
        <v>0</v>
      </c>
      <c r="K212" s="25">
        <v>0</v>
      </c>
      <c r="L212" s="25">
        <v>0</v>
      </c>
      <c r="M212" s="25">
        <v>0</v>
      </c>
      <c r="N212" s="25">
        <v>0</v>
      </c>
      <c r="O212" s="25">
        <v>0</v>
      </c>
      <c r="P212" s="25"/>
      <c r="Q212" s="23" t="s">
        <v>81</v>
      </c>
      <c r="R212" s="23">
        <v>1</v>
      </c>
      <c r="S212" s="22">
        <v>12662236.300000001</v>
      </c>
      <c r="T212" s="22">
        <v>5255176</v>
      </c>
      <c r="U212" s="26" t="s">
        <v>310</v>
      </c>
    </row>
    <row r="213" spans="1:21" s="24" customFormat="1" ht="409.5" customHeight="1" x14ac:dyDescent="0.25">
      <c r="A213" s="23">
        <v>210</v>
      </c>
      <c r="B213" s="23">
        <v>2508684</v>
      </c>
      <c r="C213" s="23">
        <v>2025</v>
      </c>
      <c r="D213" s="30">
        <v>2026</v>
      </c>
      <c r="E213" s="23" t="s">
        <v>311</v>
      </c>
      <c r="F213" s="25" t="s">
        <v>40</v>
      </c>
      <c r="G213" s="25">
        <v>0</v>
      </c>
      <c r="H213" s="25">
        <v>0</v>
      </c>
      <c r="I213" s="25">
        <v>0</v>
      </c>
      <c r="J213" s="25">
        <v>0</v>
      </c>
      <c r="K213" s="25">
        <v>0</v>
      </c>
      <c r="L213" s="25">
        <v>0</v>
      </c>
      <c r="M213" s="25">
        <v>0</v>
      </c>
      <c r="N213" s="25">
        <v>0</v>
      </c>
      <c r="O213" s="25">
        <v>0</v>
      </c>
      <c r="P213" s="25"/>
      <c r="Q213" s="23" t="s">
        <v>312</v>
      </c>
      <c r="R213" s="23">
        <v>1</v>
      </c>
      <c r="S213" s="22">
        <v>21305935.68</v>
      </c>
      <c r="T213" s="22">
        <v>5828817</v>
      </c>
      <c r="U213" s="26" t="s">
        <v>313</v>
      </c>
    </row>
    <row r="214" spans="1:21" s="24" customFormat="1" ht="293.25" customHeight="1" x14ac:dyDescent="0.25">
      <c r="A214" s="23">
        <v>211</v>
      </c>
      <c r="B214" s="23">
        <v>2231739</v>
      </c>
      <c r="C214" s="23" t="s">
        <v>188</v>
      </c>
      <c r="D214" s="30">
        <v>2023</v>
      </c>
      <c r="E214" s="23" t="s">
        <v>60</v>
      </c>
      <c r="F214" s="25" t="s">
        <v>65</v>
      </c>
      <c r="G214" s="25" t="s">
        <v>25</v>
      </c>
      <c r="H214" s="25" t="s">
        <v>26</v>
      </c>
      <c r="I214" s="25">
        <v>0</v>
      </c>
      <c r="J214" s="25">
        <v>0</v>
      </c>
      <c r="K214" s="25">
        <v>0</v>
      </c>
      <c r="L214" s="25">
        <v>0</v>
      </c>
      <c r="M214" s="25">
        <v>0</v>
      </c>
      <c r="N214" s="25">
        <v>0</v>
      </c>
      <c r="O214" s="25">
        <v>0</v>
      </c>
      <c r="P214" s="25"/>
      <c r="Q214" s="23" t="s">
        <v>28</v>
      </c>
      <c r="R214" s="23">
        <v>1</v>
      </c>
      <c r="S214" s="22">
        <v>9445601.3200000003</v>
      </c>
      <c r="T214" s="22">
        <v>13500078</v>
      </c>
      <c r="U214" s="26" t="s">
        <v>314</v>
      </c>
    </row>
    <row r="215" spans="1:21" s="24" customFormat="1" ht="280.5" customHeight="1" x14ac:dyDescent="0.25">
      <c r="A215" s="23">
        <v>212</v>
      </c>
      <c r="B215" s="23">
        <v>2226609</v>
      </c>
      <c r="C215" s="23">
        <v>2021</v>
      </c>
      <c r="D215" s="30">
        <v>2024</v>
      </c>
      <c r="E215" s="23" t="s">
        <v>70</v>
      </c>
      <c r="F215" s="25" t="s">
        <v>71</v>
      </c>
      <c r="G215" s="25" t="s">
        <v>26</v>
      </c>
      <c r="H215" s="25" t="s">
        <v>52</v>
      </c>
      <c r="I215" s="25">
        <v>0</v>
      </c>
      <c r="J215" s="25">
        <v>0</v>
      </c>
      <c r="K215" s="25">
        <v>0</v>
      </c>
      <c r="L215" s="25">
        <v>0</v>
      </c>
      <c r="M215" s="25">
        <v>0</v>
      </c>
      <c r="N215" s="25">
        <v>0</v>
      </c>
      <c r="O215" s="25">
        <v>0</v>
      </c>
      <c r="P215" s="25"/>
      <c r="Q215" s="23" t="s">
        <v>28</v>
      </c>
      <c r="R215" s="23">
        <v>1</v>
      </c>
      <c r="S215" s="22">
        <v>16202736.58</v>
      </c>
      <c r="T215" s="22">
        <v>16509949</v>
      </c>
      <c r="U215" s="26" t="s">
        <v>315</v>
      </c>
    </row>
    <row r="216" spans="1:21" s="24" customFormat="1" ht="293.25" customHeight="1" x14ac:dyDescent="0.25">
      <c r="A216" s="23">
        <v>213</v>
      </c>
      <c r="B216" s="23">
        <v>2310958</v>
      </c>
      <c r="C216" s="23">
        <v>2021</v>
      </c>
      <c r="D216" s="30">
        <v>2024</v>
      </c>
      <c r="E216" s="23" t="s">
        <v>70</v>
      </c>
      <c r="F216" s="25" t="s">
        <v>71</v>
      </c>
      <c r="G216" s="25" t="s">
        <v>52</v>
      </c>
      <c r="H216" s="25">
        <v>0</v>
      </c>
      <c r="I216" s="25">
        <v>0</v>
      </c>
      <c r="J216" s="25">
        <v>0</v>
      </c>
      <c r="K216" s="25">
        <v>0</v>
      </c>
      <c r="L216" s="25">
        <v>0</v>
      </c>
      <c r="M216" s="25">
        <v>0</v>
      </c>
      <c r="N216" s="25">
        <v>0</v>
      </c>
      <c r="O216" s="25">
        <v>0</v>
      </c>
      <c r="P216" s="25"/>
      <c r="Q216" s="23" t="s">
        <v>28</v>
      </c>
      <c r="R216" s="23">
        <v>1</v>
      </c>
      <c r="S216" s="22">
        <v>5789437.25</v>
      </c>
      <c r="T216" s="22">
        <v>5794881</v>
      </c>
      <c r="U216" s="26" t="s">
        <v>316</v>
      </c>
    </row>
    <row r="217" spans="1:21" s="24" customFormat="1" ht="306" customHeight="1" x14ac:dyDescent="0.25">
      <c r="A217" s="23">
        <v>214</v>
      </c>
      <c r="B217" s="23">
        <v>2344290</v>
      </c>
      <c r="C217" s="23">
        <v>2021</v>
      </c>
      <c r="D217" s="30">
        <v>2022</v>
      </c>
      <c r="E217" s="23" t="s">
        <v>70</v>
      </c>
      <c r="F217" s="25" t="s">
        <v>71</v>
      </c>
      <c r="G217" s="25">
        <v>0</v>
      </c>
      <c r="H217" s="25">
        <v>0</v>
      </c>
      <c r="I217" s="25">
        <v>0</v>
      </c>
      <c r="J217" s="25">
        <v>0</v>
      </c>
      <c r="K217" s="25">
        <v>0</v>
      </c>
      <c r="L217" s="25">
        <v>0</v>
      </c>
      <c r="M217" s="25">
        <v>0</v>
      </c>
      <c r="N217" s="25">
        <v>0</v>
      </c>
      <c r="O217" s="25">
        <v>0</v>
      </c>
      <c r="P217" s="25"/>
      <c r="Q217" s="23" t="s">
        <v>28</v>
      </c>
      <c r="R217" s="23">
        <v>1</v>
      </c>
      <c r="S217" s="22">
        <v>7763328.6799999997</v>
      </c>
      <c r="T217" s="22">
        <v>7394739</v>
      </c>
      <c r="U217" s="26" t="s">
        <v>317</v>
      </c>
    </row>
    <row r="218" spans="1:21" s="24" customFormat="1" ht="293.25" customHeight="1" x14ac:dyDescent="0.25">
      <c r="A218" s="23">
        <v>215</v>
      </c>
      <c r="B218" s="23">
        <v>2460343</v>
      </c>
      <c r="C218" s="23">
        <v>2021</v>
      </c>
      <c r="D218" s="30">
        <v>2024</v>
      </c>
      <c r="E218" s="23" t="s">
        <v>70</v>
      </c>
      <c r="F218" s="25" t="s">
        <v>71</v>
      </c>
      <c r="G218" s="25" t="s">
        <v>52</v>
      </c>
      <c r="H218" s="25">
        <v>0</v>
      </c>
      <c r="I218" s="25">
        <v>0</v>
      </c>
      <c r="J218" s="25">
        <v>0</v>
      </c>
      <c r="K218" s="25">
        <v>0</v>
      </c>
      <c r="L218" s="25">
        <v>0</v>
      </c>
      <c r="M218" s="25">
        <v>0</v>
      </c>
      <c r="N218" s="25">
        <v>0</v>
      </c>
      <c r="O218" s="25">
        <v>0</v>
      </c>
      <c r="P218" s="25"/>
      <c r="Q218" s="23" t="s">
        <v>28</v>
      </c>
      <c r="R218" s="23">
        <v>1</v>
      </c>
      <c r="S218" s="22">
        <v>6106769.04</v>
      </c>
      <c r="T218" s="22">
        <v>5979744</v>
      </c>
      <c r="U218" s="26" t="s">
        <v>318</v>
      </c>
    </row>
    <row r="219" spans="1:21" s="24" customFormat="1" ht="369.75" customHeight="1" x14ac:dyDescent="0.25">
      <c r="A219" s="23">
        <v>216</v>
      </c>
      <c r="B219" s="23">
        <v>2274974</v>
      </c>
      <c r="C219" s="23">
        <v>2017</v>
      </c>
      <c r="D219" s="30">
        <v>2026</v>
      </c>
      <c r="E219" s="23" t="s">
        <v>44</v>
      </c>
      <c r="F219" s="25" t="s">
        <v>78</v>
      </c>
      <c r="G219" s="25" t="s">
        <v>26</v>
      </c>
      <c r="H219" s="25" t="s">
        <v>72</v>
      </c>
      <c r="I219" s="25" t="s">
        <v>40</v>
      </c>
      <c r="J219" s="25">
        <v>0</v>
      </c>
      <c r="K219" s="25">
        <v>0</v>
      </c>
      <c r="L219" s="25">
        <v>0</v>
      </c>
      <c r="M219" s="25">
        <v>0</v>
      </c>
      <c r="N219" s="25">
        <v>0</v>
      </c>
      <c r="O219" s="25">
        <v>0</v>
      </c>
      <c r="P219" s="25"/>
      <c r="Q219" s="23" t="s">
        <v>34</v>
      </c>
      <c r="R219" s="23">
        <v>2</v>
      </c>
      <c r="S219" s="22">
        <v>22864350.66</v>
      </c>
      <c r="T219" s="22">
        <v>28493126.999296114</v>
      </c>
      <c r="U219" s="26" t="s">
        <v>319</v>
      </c>
    </row>
    <row r="220" spans="1:21" s="24" customFormat="1" ht="178.5" customHeight="1" x14ac:dyDescent="0.25">
      <c r="A220" s="23">
        <v>217</v>
      </c>
      <c r="B220" s="23">
        <v>2287470</v>
      </c>
      <c r="C220" s="23">
        <v>2021</v>
      </c>
      <c r="D220" s="30">
        <v>2024</v>
      </c>
      <c r="E220" s="23" t="s">
        <v>70</v>
      </c>
      <c r="F220" s="25" t="s">
        <v>71</v>
      </c>
      <c r="G220" s="25" t="s">
        <v>52</v>
      </c>
      <c r="H220" s="25">
        <v>0</v>
      </c>
      <c r="I220" s="25">
        <v>0</v>
      </c>
      <c r="J220" s="25">
        <v>0</v>
      </c>
      <c r="K220" s="25">
        <v>0</v>
      </c>
      <c r="L220" s="25">
        <v>0</v>
      </c>
      <c r="M220" s="25">
        <v>0</v>
      </c>
      <c r="N220" s="25">
        <v>0</v>
      </c>
      <c r="O220" s="25">
        <v>0</v>
      </c>
      <c r="P220" s="25"/>
      <c r="Q220" s="23" t="s">
        <v>28</v>
      </c>
      <c r="R220" s="23">
        <v>1</v>
      </c>
      <c r="S220" s="22">
        <v>10941786.91</v>
      </c>
      <c r="T220" s="22">
        <v>10962746</v>
      </c>
      <c r="U220" s="26" t="s">
        <v>320</v>
      </c>
    </row>
    <row r="221" spans="1:21" s="24" customFormat="1" ht="255" customHeight="1" x14ac:dyDescent="0.25">
      <c r="A221" s="23">
        <v>218</v>
      </c>
      <c r="B221" s="23">
        <v>2321804</v>
      </c>
      <c r="C221" s="23">
        <v>2021</v>
      </c>
      <c r="D221" s="30">
        <v>2025</v>
      </c>
      <c r="E221" s="23" t="s">
        <v>70</v>
      </c>
      <c r="F221" s="25" t="s">
        <v>71</v>
      </c>
      <c r="G221" s="25" t="s">
        <v>250</v>
      </c>
      <c r="H221" s="25">
        <v>0</v>
      </c>
      <c r="I221" s="25">
        <v>0</v>
      </c>
      <c r="J221" s="25">
        <v>0</v>
      </c>
      <c r="K221" s="25">
        <v>0</v>
      </c>
      <c r="L221" s="25">
        <v>0</v>
      </c>
      <c r="M221" s="25">
        <v>0</v>
      </c>
      <c r="N221" s="25">
        <v>0</v>
      </c>
      <c r="O221" s="25">
        <v>0</v>
      </c>
      <c r="P221" s="25"/>
      <c r="Q221" s="23" t="s">
        <v>81</v>
      </c>
      <c r="R221" s="23">
        <v>1</v>
      </c>
      <c r="S221" s="22">
        <v>5989792.7999999998</v>
      </c>
      <c r="T221" s="22">
        <v>5908272</v>
      </c>
      <c r="U221" s="26" t="s">
        <v>321</v>
      </c>
    </row>
    <row r="222" spans="1:21" s="24" customFormat="1" ht="409.5" customHeight="1" x14ac:dyDescent="0.25">
      <c r="A222" s="23">
        <v>219</v>
      </c>
      <c r="B222" s="23">
        <v>2182719</v>
      </c>
      <c r="C222" s="23">
        <v>2018</v>
      </c>
      <c r="D222" s="30">
        <v>2024</v>
      </c>
      <c r="E222" s="23" t="s">
        <v>152</v>
      </c>
      <c r="F222" s="25" t="s">
        <v>24</v>
      </c>
      <c r="G222" s="25" t="s">
        <v>39</v>
      </c>
      <c r="H222" s="25" t="s">
        <v>25</v>
      </c>
      <c r="I222" s="25" t="s">
        <v>32</v>
      </c>
      <c r="J222" s="25" t="s">
        <v>26</v>
      </c>
      <c r="K222" s="25" t="s">
        <v>51</v>
      </c>
      <c r="L222" s="25">
        <v>0</v>
      </c>
      <c r="M222" s="25">
        <v>0</v>
      </c>
      <c r="N222" s="25">
        <v>0</v>
      </c>
      <c r="O222" s="25">
        <v>0</v>
      </c>
      <c r="P222" s="25"/>
      <c r="Q222" s="23" t="s">
        <v>76</v>
      </c>
      <c r="R222" s="23">
        <v>1</v>
      </c>
      <c r="S222" s="22">
        <v>24240602.93</v>
      </c>
      <c r="T222" s="22">
        <v>29933242</v>
      </c>
      <c r="U222" s="26" t="s">
        <v>322</v>
      </c>
    </row>
    <row r="223" spans="1:21" s="24" customFormat="1" ht="255" customHeight="1" x14ac:dyDescent="0.25">
      <c r="A223" s="23">
        <v>220</v>
      </c>
      <c r="B223" s="23">
        <v>2195218</v>
      </c>
      <c r="C223" s="23">
        <v>2016</v>
      </c>
      <c r="D223" s="30">
        <v>2023</v>
      </c>
      <c r="E223" s="23" t="s">
        <v>22</v>
      </c>
      <c r="F223" s="25" t="s">
        <v>323</v>
      </c>
      <c r="G223" s="25" t="s">
        <v>25</v>
      </c>
      <c r="H223" s="25" t="s">
        <v>32</v>
      </c>
      <c r="I223" s="25" t="s">
        <v>26</v>
      </c>
      <c r="J223" s="25">
        <v>0</v>
      </c>
      <c r="K223" s="25">
        <v>0</v>
      </c>
      <c r="L223" s="25">
        <v>0</v>
      </c>
      <c r="M223" s="25">
        <v>0</v>
      </c>
      <c r="N223" s="25">
        <v>0</v>
      </c>
      <c r="O223" s="25">
        <v>0</v>
      </c>
      <c r="P223" s="25"/>
      <c r="Q223" s="23" t="s">
        <v>28</v>
      </c>
      <c r="R223" s="23">
        <v>6</v>
      </c>
      <c r="S223" s="22">
        <v>10060272.92</v>
      </c>
      <c r="T223" s="22">
        <v>11746298</v>
      </c>
      <c r="U223" s="26" t="s">
        <v>324</v>
      </c>
    </row>
    <row r="224" spans="1:21" s="24" customFormat="1" ht="51" customHeight="1" x14ac:dyDescent="0.25">
      <c r="A224" s="23">
        <v>221</v>
      </c>
      <c r="B224" s="23" t="s">
        <v>325</v>
      </c>
      <c r="C224" s="23">
        <v>2021</v>
      </c>
      <c r="D224" s="30">
        <v>2024</v>
      </c>
      <c r="E224" s="23" t="s">
        <v>74</v>
      </c>
      <c r="F224" s="25" t="s">
        <v>32</v>
      </c>
      <c r="G224" s="25" t="s">
        <v>71</v>
      </c>
      <c r="H224" s="25" t="s">
        <v>52</v>
      </c>
      <c r="I224" s="25">
        <v>0</v>
      </c>
      <c r="J224" s="25">
        <v>0</v>
      </c>
      <c r="K224" s="25">
        <v>0</v>
      </c>
      <c r="L224" s="25">
        <v>0</v>
      </c>
      <c r="M224" s="25">
        <v>0</v>
      </c>
      <c r="N224" s="25">
        <v>0</v>
      </c>
      <c r="O224" s="25">
        <v>0</v>
      </c>
      <c r="P224" s="25"/>
      <c r="Q224" s="23" t="s">
        <v>41</v>
      </c>
      <c r="R224" s="23">
        <v>1</v>
      </c>
      <c r="S224" s="22">
        <v>13044044.439999999</v>
      </c>
      <c r="T224" s="22">
        <v>14918958</v>
      </c>
      <c r="U224" s="26" t="e">
        <v>#N/A</v>
      </c>
    </row>
    <row r="225" spans="1:21" s="24" customFormat="1" ht="114.75" customHeight="1" x14ac:dyDescent="0.25">
      <c r="A225" s="23">
        <v>222</v>
      </c>
      <c r="B225" s="23">
        <v>2292410</v>
      </c>
      <c r="C225" s="23">
        <v>2021</v>
      </c>
      <c r="D225" s="30">
        <v>2023</v>
      </c>
      <c r="E225" s="23" t="s">
        <v>70</v>
      </c>
      <c r="F225" s="25" t="s">
        <v>75</v>
      </c>
      <c r="G225" s="25" t="s">
        <v>26</v>
      </c>
      <c r="H225" s="25">
        <v>0</v>
      </c>
      <c r="I225" s="25">
        <v>0</v>
      </c>
      <c r="J225" s="25">
        <v>0</v>
      </c>
      <c r="K225" s="25">
        <v>0</v>
      </c>
      <c r="L225" s="25">
        <v>0</v>
      </c>
      <c r="M225" s="25">
        <v>0</v>
      </c>
      <c r="N225" s="25">
        <v>0</v>
      </c>
      <c r="O225" s="25">
        <v>0</v>
      </c>
      <c r="P225" s="25"/>
      <c r="Q225" s="23" t="s">
        <v>28</v>
      </c>
      <c r="R225" s="23">
        <v>1</v>
      </c>
      <c r="S225" s="22">
        <v>4047847.54</v>
      </c>
      <c r="T225" s="22">
        <v>4386811</v>
      </c>
      <c r="U225" s="26" t="s">
        <v>326</v>
      </c>
    </row>
    <row r="226" spans="1:21" s="24" customFormat="1" ht="204" customHeight="1" x14ac:dyDescent="0.25">
      <c r="A226" s="23">
        <v>223</v>
      </c>
      <c r="B226" s="23">
        <v>2319490</v>
      </c>
      <c r="C226" s="23">
        <v>2022</v>
      </c>
      <c r="D226" s="30">
        <v>2026</v>
      </c>
      <c r="E226" s="23" t="s">
        <v>78</v>
      </c>
      <c r="F226" s="25" t="s">
        <v>26</v>
      </c>
      <c r="G226" s="25" t="s">
        <v>72</v>
      </c>
      <c r="H226" s="25" t="s">
        <v>40</v>
      </c>
      <c r="I226" s="25">
        <v>0</v>
      </c>
      <c r="J226" s="25">
        <v>0</v>
      </c>
      <c r="K226" s="25">
        <v>0</v>
      </c>
      <c r="L226" s="25">
        <v>0</v>
      </c>
      <c r="M226" s="25">
        <v>0</v>
      </c>
      <c r="N226" s="25">
        <v>0</v>
      </c>
      <c r="O226" s="25">
        <v>0</v>
      </c>
      <c r="P226" s="25"/>
      <c r="Q226" s="23" t="s">
        <v>41</v>
      </c>
      <c r="R226" s="23">
        <v>1</v>
      </c>
      <c r="S226" s="22">
        <v>8021137.1399999997</v>
      </c>
      <c r="T226" s="22">
        <v>7703449</v>
      </c>
      <c r="U226" s="26" t="s">
        <v>327</v>
      </c>
    </row>
    <row r="227" spans="1:21" s="24" customFormat="1" ht="409.5" customHeight="1" x14ac:dyDescent="0.25">
      <c r="A227" s="23">
        <v>224</v>
      </c>
      <c r="B227" s="23">
        <v>2353305</v>
      </c>
      <c r="C227" s="23">
        <v>2021</v>
      </c>
      <c r="D227" s="30">
        <v>2022</v>
      </c>
      <c r="E227" s="23" t="s">
        <v>70</v>
      </c>
      <c r="F227" s="25" t="s">
        <v>71</v>
      </c>
      <c r="G227" s="25">
        <v>0</v>
      </c>
      <c r="H227" s="25">
        <v>0</v>
      </c>
      <c r="I227" s="25">
        <v>0</v>
      </c>
      <c r="J227" s="25">
        <v>0</v>
      </c>
      <c r="K227" s="25">
        <v>0</v>
      </c>
      <c r="L227" s="25">
        <v>0</v>
      </c>
      <c r="M227" s="25">
        <v>0</v>
      </c>
      <c r="N227" s="25">
        <v>0</v>
      </c>
      <c r="O227" s="25">
        <v>0</v>
      </c>
      <c r="P227" s="25"/>
      <c r="Q227" s="23" t="s">
        <v>41</v>
      </c>
      <c r="R227" s="23">
        <v>1</v>
      </c>
      <c r="S227" s="22">
        <v>12541658.32</v>
      </c>
      <c r="T227" s="22">
        <v>11006932</v>
      </c>
      <c r="U227" s="26" t="s">
        <v>328</v>
      </c>
    </row>
    <row r="228" spans="1:21" s="24" customFormat="1" ht="216.75" customHeight="1" x14ac:dyDescent="0.25">
      <c r="A228" s="23">
        <v>225</v>
      </c>
      <c r="B228" s="23">
        <v>2448727</v>
      </c>
      <c r="C228" s="23">
        <v>2021</v>
      </c>
      <c r="D228" s="30">
        <v>2026</v>
      </c>
      <c r="E228" s="23" t="s">
        <v>70</v>
      </c>
      <c r="F228" s="25" t="s">
        <v>71</v>
      </c>
      <c r="G228" s="25" t="s">
        <v>329</v>
      </c>
      <c r="H228" s="25" t="s">
        <v>40</v>
      </c>
      <c r="I228" s="25">
        <v>0</v>
      </c>
      <c r="J228" s="25">
        <v>0</v>
      </c>
      <c r="K228" s="25">
        <v>0</v>
      </c>
      <c r="L228" s="25">
        <v>0</v>
      </c>
      <c r="M228" s="25">
        <v>0</v>
      </c>
      <c r="N228" s="25">
        <v>0</v>
      </c>
      <c r="O228" s="25">
        <v>0</v>
      </c>
      <c r="P228" s="25"/>
      <c r="Q228" s="23" t="s">
        <v>76</v>
      </c>
      <c r="R228" s="23">
        <v>1</v>
      </c>
      <c r="S228" s="22">
        <v>8233058.2199999997</v>
      </c>
      <c r="T228" s="22">
        <v>10482410</v>
      </c>
      <c r="U228" s="26" t="s">
        <v>330</v>
      </c>
    </row>
    <row r="229" spans="1:21" s="24" customFormat="1" ht="382.5" customHeight="1" x14ac:dyDescent="0.25">
      <c r="A229" s="23">
        <v>226</v>
      </c>
      <c r="B229" s="23">
        <v>2239740</v>
      </c>
      <c r="C229" s="23">
        <v>2018</v>
      </c>
      <c r="D229" s="30">
        <v>2022</v>
      </c>
      <c r="E229" s="23" t="s">
        <v>174</v>
      </c>
      <c r="F229" s="25" t="s">
        <v>24</v>
      </c>
      <c r="G229" s="25" t="s">
        <v>64</v>
      </c>
      <c r="H229" s="25" t="s">
        <v>65</v>
      </c>
      <c r="I229" s="25" t="s">
        <v>25</v>
      </c>
      <c r="J229" s="25" t="s">
        <v>32</v>
      </c>
      <c r="K229" s="25">
        <v>0</v>
      </c>
      <c r="L229" s="25">
        <v>0</v>
      </c>
      <c r="M229" s="25">
        <v>0</v>
      </c>
      <c r="N229" s="25">
        <v>0</v>
      </c>
      <c r="O229" s="25">
        <v>0</v>
      </c>
      <c r="P229" s="25"/>
      <c r="Q229" s="23" t="s">
        <v>28</v>
      </c>
      <c r="R229" s="23">
        <v>1</v>
      </c>
      <c r="S229" s="22">
        <v>11106516.710000001</v>
      </c>
      <c r="T229" s="22">
        <v>23875544</v>
      </c>
      <c r="U229" s="26" t="s">
        <v>331</v>
      </c>
    </row>
    <row r="230" spans="1:21" s="24" customFormat="1" ht="216.75" customHeight="1" x14ac:dyDescent="0.25">
      <c r="A230" s="23">
        <v>227</v>
      </c>
      <c r="B230" s="23">
        <v>2296996</v>
      </c>
      <c r="C230" s="23">
        <v>2018</v>
      </c>
      <c r="D230" s="30">
        <v>2024</v>
      </c>
      <c r="E230" s="23" t="s">
        <v>134</v>
      </c>
      <c r="F230" s="25" t="s">
        <v>25</v>
      </c>
      <c r="G230" s="25" t="s">
        <v>32</v>
      </c>
      <c r="H230" s="25" t="s">
        <v>51</v>
      </c>
      <c r="I230" s="25">
        <v>0</v>
      </c>
      <c r="J230" s="25">
        <v>0</v>
      </c>
      <c r="K230" s="25">
        <v>0</v>
      </c>
      <c r="L230" s="25">
        <v>0</v>
      </c>
      <c r="M230" s="25">
        <v>0</v>
      </c>
      <c r="N230" s="25">
        <v>0</v>
      </c>
      <c r="O230" s="25">
        <v>0</v>
      </c>
      <c r="P230" s="25"/>
      <c r="Q230" s="23" t="s">
        <v>28</v>
      </c>
      <c r="R230" s="23">
        <v>1</v>
      </c>
      <c r="S230" s="22">
        <v>3929460.55</v>
      </c>
      <c r="T230" s="22">
        <v>4107219</v>
      </c>
      <c r="U230" s="26" t="s">
        <v>332</v>
      </c>
    </row>
    <row r="231" spans="1:21" s="24" customFormat="1" ht="267.75" customHeight="1" x14ac:dyDescent="0.25">
      <c r="A231" s="23">
        <v>228</v>
      </c>
      <c r="B231" s="23">
        <v>2341831</v>
      </c>
      <c r="C231" s="23">
        <v>2021</v>
      </c>
      <c r="D231" s="30">
        <v>2024</v>
      </c>
      <c r="E231" s="23" t="s">
        <v>225</v>
      </c>
      <c r="F231" s="25" t="s">
        <v>52</v>
      </c>
      <c r="G231" s="25">
        <v>0</v>
      </c>
      <c r="H231" s="25">
        <v>0</v>
      </c>
      <c r="I231" s="25">
        <v>0</v>
      </c>
      <c r="J231" s="25">
        <v>0</v>
      </c>
      <c r="K231" s="25">
        <v>0</v>
      </c>
      <c r="L231" s="25">
        <v>0</v>
      </c>
      <c r="M231" s="25">
        <v>0</v>
      </c>
      <c r="N231" s="25">
        <v>0</v>
      </c>
      <c r="O231" s="25">
        <v>0</v>
      </c>
      <c r="P231" s="25"/>
      <c r="Q231" s="23" t="s">
        <v>28</v>
      </c>
      <c r="R231" s="23">
        <v>1</v>
      </c>
      <c r="S231" s="22">
        <v>7977939.3300000001</v>
      </c>
      <c r="T231" s="22">
        <v>7931889</v>
      </c>
      <c r="U231" s="26" t="s">
        <v>333</v>
      </c>
    </row>
    <row r="232" spans="1:21" s="24" customFormat="1" ht="344.25" customHeight="1" x14ac:dyDescent="0.25">
      <c r="A232" s="23">
        <v>229</v>
      </c>
      <c r="B232" s="23">
        <v>2160427</v>
      </c>
      <c r="C232" s="23">
        <v>2012</v>
      </c>
      <c r="D232" s="30">
        <v>2012</v>
      </c>
      <c r="E232" s="23" t="s">
        <v>252</v>
      </c>
      <c r="F232" s="25">
        <v>0</v>
      </c>
      <c r="G232" s="25">
        <v>0</v>
      </c>
      <c r="H232" s="25">
        <v>0</v>
      </c>
      <c r="I232" s="25">
        <v>0</v>
      </c>
      <c r="J232" s="25">
        <v>0</v>
      </c>
      <c r="K232" s="25">
        <v>0</v>
      </c>
      <c r="L232" s="25">
        <v>0</v>
      </c>
      <c r="M232" s="25">
        <v>0</v>
      </c>
      <c r="N232" s="25">
        <v>0</v>
      </c>
      <c r="O232" s="25">
        <v>0</v>
      </c>
      <c r="P232" s="25"/>
      <c r="Q232" s="23" t="s">
        <v>28</v>
      </c>
      <c r="R232" s="23">
        <v>1</v>
      </c>
      <c r="S232" s="22">
        <v>2165561.7799999998</v>
      </c>
      <c r="T232" s="22">
        <v>1092160</v>
      </c>
      <c r="U232" s="26" t="s">
        <v>334</v>
      </c>
    </row>
    <row r="233" spans="1:21" s="24" customFormat="1" ht="344.25" customHeight="1" x14ac:dyDescent="0.25">
      <c r="A233" s="23">
        <v>230</v>
      </c>
      <c r="B233" s="23">
        <v>2160425</v>
      </c>
      <c r="C233" s="23">
        <v>2012</v>
      </c>
      <c r="D233" s="30">
        <v>2012</v>
      </c>
      <c r="E233" s="23" t="s">
        <v>252</v>
      </c>
      <c r="F233" s="25">
        <v>0</v>
      </c>
      <c r="G233" s="25">
        <v>0</v>
      </c>
      <c r="H233" s="25">
        <v>0</v>
      </c>
      <c r="I233" s="25">
        <v>0</v>
      </c>
      <c r="J233" s="25">
        <v>0</v>
      </c>
      <c r="K233" s="25">
        <v>0</v>
      </c>
      <c r="L233" s="25">
        <v>0</v>
      </c>
      <c r="M233" s="25">
        <v>0</v>
      </c>
      <c r="N233" s="25">
        <v>0</v>
      </c>
      <c r="O233" s="25">
        <v>0</v>
      </c>
      <c r="P233" s="25"/>
      <c r="Q233" s="23" t="s">
        <v>261</v>
      </c>
      <c r="R233" s="23">
        <v>1</v>
      </c>
      <c r="S233" s="22">
        <v>1945062.09</v>
      </c>
      <c r="T233" s="22">
        <v>1109114</v>
      </c>
      <c r="U233" s="26" t="s">
        <v>335</v>
      </c>
    </row>
    <row r="234" spans="1:21" s="24" customFormat="1" ht="409.5" customHeight="1" x14ac:dyDescent="0.25">
      <c r="A234" s="23">
        <v>231</v>
      </c>
      <c r="B234" s="23">
        <v>2161116</v>
      </c>
      <c r="C234" s="23">
        <v>2012</v>
      </c>
      <c r="D234" s="30">
        <v>2012</v>
      </c>
      <c r="E234" s="23" t="s">
        <v>59</v>
      </c>
      <c r="F234" s="25">
        <v>0</v>
      </c>
      <c r="G234" s="25">
        <v>0</v>
      </c>
      <c r="H234" s="25">
        <v>0</v>
      </c>
      <c r="I234" s="25">
        <v>0</v>
      </c>
      <c r="J234" s="25">
        <v>0</v>
      </c>
      <c r="K234" s="25">
        <v>0</v>
      </c>
      <c r="L234" s="25">
        <v>0</v>
      </c>
      <c r="M234" s="25">
        <v>0</v>
      </c>
      <c r="N234" s="25">
        <v>0</v>
      </c>
      <c r="O234" s="25">
        <v>0</v>
      </c>
      <c r="P234" s="25"/>
      <c r="Q234" s="23" t="s">
        <v>261</v>
      </c>
      <c r="R234" s="23">
        <v>1</v>
      </c>
      <c r="S234" s="22">
        <v>1701611.17</v>
      </c>
      <c r="T234" s="22">
        <v>859556</v>
      </c>
      <c r="U234" s="26" t="s">
        <v>336</v>
      </c>
    </row>
    <row r="235" spans="1:21" s="24" customFormat="1" ht="140.25" customHeight="1" x14ac:dyDescent="0.25">
      <c r="A235" s="23">
        <v>232</v>
      </c>
      <c r="B235" s="23">
        <v>2230923</v>
      </c>
      <c r="C235" s="23">
        <v>2013</v>
      </c>
      <c r="D235" s="30">
        <v>2013</v>
      </c>
      <c r="E235" s="23" t="s">
        <v>83</v>
      </c>
      <c r="F235" s="25">
        <v>0</v>
      </c>
      <c r="G235" s="25">
        <v>0</v>
      </c>
      <c r="H235" s="25">
        <v>0</v>
      </c>
      <c r="I235" s="25">
        <v>0</v>
      </c>
      <c r="J235" s="25">
        <v>0</v>
      </c>
      <c r="K235" s="25">
        <v>0</v>
      </c>
      <c r="L235" s="25">
        <v>0</v>
      </c>
      <c r="M235" s="25">
        <v>0</v>
      </c>
      <c r="N235" s="25">
        <v>0</v>
      </c>
      <c r="O235" s="25">
        <v>0</v>
      </c>
      <c r="P235" s="25"/>
      <c r="Q235" s="23" t="s">
        <v>56</v>
      </c>
      <c r="R235" s="23">
        <v>1</v>
      </c>
      <c r="S235" s="22">
        <v>2006590.68</v>
      </c>
      <c r="T235" s="22">
        <v>536336</v>
      </c>
      <c r="U235" s="26" t="s">
        <v>337</v>
      </c>
    </row>
    <row r="236" spans="1:21" s="24" customFormat="1" ht="409.5" customHeight="1" x14ac:dyDescent="0.25">
      <c r="A236" s="23">
        <v>233</v>
      </c>
      <c r="B236" s="23">
        <v>2230776</v>
      </c>
      <c r="C236" s="23">
        <v>2014</v>
      </c>
      <c r="D236" s="30">
        <v>2014</v>
      </c>
      <c r="E236" s="23" t="s">
        <v>338</v>
      </c>
      <c r="F236" s="25">
        <v>0</v>
      </c>
      <c r="G236" s="25">
        <v>0</v>
      </c>
      <c r="H236" s="25">
        <v>0</v>
      </c>
      <c r="I236" s="25">
        <v>0</v>
      </c>
      <c r="J236" s="25">
        <v>0</v>
      </c>
      <c r="K236" s="25">
        <v>0</v>
      </c>
      <c r="L236" s="25">
        <v>0</v>
      </c>
      <c r="M236" s="25">
        <v>0</v>
      </c>
      <c r="N236" s="25">
        <v>0</v>
      </c>
      <c r="O236" s="25">
        <v>0</v>
      </c>
      <c r="P236" s="25"/>
      <c r="Q236" s="23" t="s">
        <v>56</v>
      </c>
      <c r="R236" s="23">
        <v>1</v>
      </c>
      <c r="S236" s="22">
        <v>2139726.41</v>
      </c>
      <c r="T236" s="22">
        <v>826154</v>
      </c>
      <c r="U236" s="26" t="s">
        <v>339</v>
      </c>
    </row>
    <row r="237" spans="1:21" s="24" customFormat="1" ht="357" customHeight="1" x14ac:dyDescent="0.25">
      <c r="A237" s="23">
        <v>234</v>
      </c>
      <c r="B237" s="23">
        <v>2231037</v>
      </c>
      <c r="C237" s="23">
        <v>2014</v>
      </c>
      <c r="D237" s="30">
        <v>2014</v>
      </c>
      <c r="E237" s="23" t="s">
        <v>338</v>
      </c>
      <c r="F237" s="25">
        <v>0</v>
      </c>
      <c r="G237" s="25">
        <v>0</v>
      </c>
      <c r="H237" s="25">
        <v>0</v>
      </c>
      <c r="I237" s="25">
        <v>0</v>
      </c>
      <c r="J237" s="25">
        <v>0</v>
      </c>
      <c r="K237" s="25">
        <v>0</v>
      </c>
      <c r="L237" s="25">
        <v>0</v>
      </c>
      <c r="M237" s="25">
        <v>0</v>
      </c>
      <c r="N237" s="25">
        <v>0</v>
      </c>
      <c r="O237" s="25">
        <v>0</v>
      </c>
      <c r="P237" s="25"/>
      <c r="Q237" s="23" t="s">
        <v>56</v>
      </c>
      <c r="R237" s="23">
        <v>1</v>
      </c>
      <c r="S237" s="22">
        <v>2424297.29</v>
      </c>
      <c r="T237" s="22">
        <v>601418</v>
      </c>
      <c r="U237" s="26" t="s">
        <v>340</v>
      </c>
    </row>
    <row r="238" spans="1:21" s="24" customFormat="1" ht="395.25" customHeight="1" x14ac:dyDescent="0.25">
      <c r="A238" s="23">
        <v>235</v>
      </c>
      <c r="B238" s="23">
        <v>2283431</v>
      </c>
      <c r="C238" s="23">
        <v>2021</v>
      </c>
      <c r="D238" s="30">
        <v>2024</v>
      </c>
      <c r="E238" s="23" t="s">
        <v>70</v>
      </c>
      <c r="F238" s="25" t="s">
        <v>71</v>
      </c>
      <c r="G238" s="25" t="s">
        <v>51</v>
      </c>
      <c r="H238" s="25">
        <v>0</v>
      </c>
      <c r="I238" s="25">
        <v>0</v>
      </c>
      <c r="J238" s="25">
        <v>0</v>
      </c>
      <c r="K238" s="25">
        <v>0</v>
      </c>
      <c r="L238" s="25">
        <v>0</v>
      </c>
      <c r="M238" s="25">
        <v>0</v>
      </c>
      <c r="N238" s="25">
        <v>0</v>
      </c>
      <c r="O238" s="25">
        <v>0</v>
      </c>
      <c r="P238" s="25"/>
      <c r="Q238" s="23" t="s">
        <v>41</v>
      </c>
      <c r="R238" s="23">
        <v>1</v>
      </c>
      <c r="S238" s="22">
        <v>4124900.9</v>
      </c>
      <c r="T238" s="22">
        <v>4667953</v>
      </c>
      <c r="U238" s="26" t="s">
        <v>341</v>
      </c>
    </row>
    <row r="239" spans="1:21" s="24" customFormat="1" ht="293.25" customHeight="1" x14ac:dyDescent="0.25">
      <c r="A239" s="23">
        <v>236</v>
      </c>
      <c r="B239" s="23">
        <v>2251368</v>
      </c>
      <c r="C239" s="23">
        <v>2015</v>
      </c>
      <c r="D239" s="30">
        <v>2015</v>
      </c>
      <c r="E239" s="23" t="s">
        <v>20</v>
      </c>
      <c r="F239" s="25">
        <v>0</v>
      </c>
      <c r="G239" s="25">
        <v>0</v>
      </c>
      <c r="H239" s="25">
        <v>0</v>
      </c>
      <c r="I239" s="25">
        <v>0</v>
      </c>
      <c r="J239" s="25">
        <v>0</v>
      </c>
      <c r="K239" s="25">
        <v>0</v>
      </c>
      <c r="L239" s="25">
        <v>0</v>
      </c>
      <c r="M239" s="25">
        <v>0</v>
      </c>
      <c r="N239" s="25">
        <v>0</v>
      </c>
      <c r="O239" s="25">
        <v>0</v>
      </c>
      <c r="P239" s="25"/>
      <c r="Q239" s="23" t="s">
        <v>28</v>
      </c>
      <c r="R239" s="23">
        <v>1</v>
      </c>
      <c r="S239" s="22">
        <v>2438878.4900000002</v>
      </c>
      <c r="T239" s="22">
        <v>52000</v>
      </c>
      <c r="U239" s="26" t="s">
        <v>342</v>
      </c>
    </row>
    <row r="240" spans="1:21" s="24" customFormat="1" ht="229.5" customHeight="1" x14ac:dyDescent="0.25">
      <c r="A240" s="23">
        <v>237</v>
      </c>
      <c r="B240" s="23">
        <v>2157757</v>
      </c>
      <c r="C240" s="23">
        <v>2017</v>
      </c>
      <c r="D240" s="30">
        <v>2017</v>
      </c>
      <c r="E240" s="23" t="s">
        <v>36</v>
      </c>
      <c r="F240" s="25">
        <v>0</v>
      </c>
      <c r="G240" s="25">
        <v>0</v>
      </c>
      <c r="H240" s="25">
        <v>0</v>
      </c>
      <c r="I240" s="25">
        <v>0</v>
      </c>
      <c r="J240" s="25">
        <v>0</v>
      </c>
      <c r="K240" s="25">
        <v>0</v>
      </c>
      <c r="L240" s="25">
        <v>0</v>
      </c>
      <c r="M240" s="25">
        <v>0</v>
      </c>
      <c r="N240" s="25">
        <v>0</v>
      </c>
      <c r="O240" s="25">
        <v>0</v>
      </c>
      <c r="P240" s="25"/>
      <c r="Q240" s="23" t="s">
        <v>28</v>
      </c>
      <c r="R240" s="23">
        <v>1</v>
      </c>
      <c r="S240" s="22">
        <v>4939314.01</v>
      </c>
      <c r="T240" s="22">
        <v>3810328</v>
      </c>
      <c r="U240" s="26" t="s">
        <v>343</v>
      </c>
    </row>
    <row r="241" spans="1:21" s="24" customFormat="1" ht="242.25" customHeight="1" x14ac:dyDescent="0.25">
      <c r="A241" s="23">
        <v>238</v>
      </c>
      <c r="B241" s="23">
        <v>2184426</v>
      </c>
      <c r="C241" s="23">
        <v>2015</v>
      </c>
      <c r="D241" s="30">
        <v>2015</v>
      </c>
      <c r="E241" s="23" t="s">
        <v>344</v>
      </c>
      <c r="F241" s="25">
        <v>0</v>
      </c>
      <c r="G241" s="25">
        <v>0</v>
      </c>
      <c r="H241" s="25">
        <v>0</v>
      </c>
      <c r="I241" s="25">
        <v>0</v>
      </c>
      <c r="J241" s="25">
        <v>0</v>
      </c>
      <c r="K241" s="25">
        <v>0</v>
      </c>
      <c r="L241" s="25">
        <v>0</v>
      </c>
      <c r="M241" s="25">
        <v>0</v>
      </c>
      <c r="N241" s="25">
        <v>0</v>
      </c>
      <c r="O241" s="25">
        <v>0</v>
      </c>
      <c r="P241" s="25"/>
      <c r="Q241" s="23" t="s">
        <v>41</v>
      </c>
      <c r="R241" s="23">
        <v>7</v>
      </c>
      <c r="S241" s="22">
        <v>9410130.1999999993</v>
      </c>
      <c r="T241" s="22">
        <v>266915</v>
      </c>
      <c r="U241" s="26" t="s">
        <v>345</v>
      </c>
    </row>
    <row r="242" spans="1:21" s="24" customFormat="1" ht="409.5" customHeight="1" x14ac:dyDescent="0.25">
      <c r="A242" s="23">
        <v>239</v>
      </c>
      <c r="B242" s="23">
        <v>2344449</v>
      </c>
      <c r="C242" s="23">
        <v>2021</v>
      </c>
      <c r="D242" s="30">
        <v>2026</v>
      </c>
      <c r="E242" s="23" t="s">
        <v>70</v>
      </c>
      <c r="F242" s="25" t="s">
        <v>71</v>
      </c>
      <c r="G242" s="25" t="s">
        <v>51</v>
      </c>
      <c r="H242" s="25" t="s">
        <v>40</v>
      </c>
      <c r="I242" s="25">
        <v>0</v>
      </c>
      <c r="J242" s="25">
        <v>0</v>
      </c>
      <c r="K242" s="25">
        <v>0</v>
      </c>
      <c r="L242" s="25">
        <v>0</v>
      </c>
      <c r="M242" s="25">
        <v>0</v>
      </c>
      <c r="N242" s="25">
        <v>0</v>
      </c>
      <c r="O242" s="25">
        <v>0</v>
      </c>
      <c r="P242" s="25"/>
      <c r="Q242" s="23" t="s">
        <v>56</v>
      </c>
      <c r="R242" s="23">
        <v>1</v>
      </c>
      <c r="S242" s="22">
        <v>14185927.359999999</v>
      </c>
      <c r="T242" s="22">
        <v>14524456</v>
      </c>
      <c r="U242" s="26" t="s">
        <v>346</v>
      </c>
    </row>
    <row r="243" spans="1:21" s="24" customFormat="1" ht="409.5" customHeight="1" x14ac:dyDescent="0.25">
      <c r="A243" s="23">
        <v>240</v>
      </c>
      <c r="B243" s="23">
        <v>2352420</v>
      </c>
      <c r="C243" s="23">
        <v>2024</v>
      </c>
      <c r="D243" s="30">
        <v>2024</v>
      </c>
      <c r="E243" s="23" t="s">
        <v>347</v>
      </c>
      <c r="F243" s="25">
        <v>0</v>
      </c>
      <c r="G243" s="25">
        <v>0</v>
      </c>
      <c r="H243" s="25">
        <v>0</v>
      </c>
      <c r="I243" s="25">
        <v>0</v>
      </c>
      <c r="J243" s="25">
        <v>0</v>
      </c>
      <c r="K243" s="25">
        <v>0</v>
      </c>
      <c r="L243" s="25">
        <v>0</v>
      </c>
      <c r="M243" s="25">
        <v>0</v>
      </c>
      <c r="N243" s="25">
        <v>0</v>
      </c>
      <c r="O243" s="25">
        <v>0</v>
      </c>
      <c r="P243" s="25"/>
      <c r="Q243" s="23" t="s">
        <v>269</v>
      </c>
      <c r="R243" s="23">
        <v>1</v>
      </c>
      <c r="S243" s="22">
        <v>3505929.11</v>
      </c>
      <c r="T243" s="22">
        <v>636295</v>
      </c>
      <c r="U243" s="26" t="s">
        <v>348</v>
      </c>
    </row>
    <row r="244" spans="1:21" s="24" customFormat="1" ht="409.5" customHeight="1" x14ac:dyDescent="0.25">
      <c r="A244" s="23">
        <v>241</v>
      </c>
      <c r="B244" s="23">
        <v>2331521</v>
      </c>
      <c r="C244" s="23">
        <v>2024</v>
      </c>
      <c r="D244" s="30">
        <v>2024</v>
      </c>
      <c r="E244" s="23" t="s">
        <v>347</v>
      </c>
      <c r="F244" s="25">
        <v>0</v>
      </c>
      <c r="G244" s="25">
        <v>0</v>
      </c>
      <c r="H244" s="25">
        <v>0</v>
      </c>
      <c r="I244" s="25">
        <v>0</v>
      </c>
      <c r="J244" s="25">
        <v>0</v>
      </c>
      <c r="K244" s="25">
        <v>0</v>
      </c>
      <c r="L244" s="25">
        <v>0</v>
      </c>
      <c r="M244" s="25">
        <v>0</v>
      </c>
      <c r="N244" s="25">
        <v>0</v>
      </c>
      <c r="O244" s="25">
        <v>0</v>
      </c>
      <c r="P244" s="25"/>
      <c r="Q244" s="23" t="s">
        <v>269</v>
      </c>
      <c r="R244" s="23">
        <v>1</v>
      </c>
      <c r="S244" s="22">
        <v>7556393.7800000003</v>
      </c>
      <c r="T244" s="22">
        <v>1376898</v>
      </c>
      <c r="U244" s="26" t="s">
        <v>349</v>
      </c>
    </row>
    <row r="245" spans="1:21" s="24" customFormat="1" ht="409.5" customHeight="1" x14ac:dyDescent="0.25">
      <c r="A245" s="23">
        <v>242</v>
      </c>
      <c r="B245" s="23">
        <v>2108997</v>
      </c>
      <c r="C245" s="23">
        <v>2012</v>
      </c>
      <c r="D245" s="30">
        <v>2022</v>
      </c>
      <c r="E245" s="23" t="s">
        <v>350</v>
      </c>
      <c r="F245" s="25" t="s">
        <v>32</v>
      </c>
      <c r="G245" s="25">
        <v>0</v>
      </c>
      <c r="H245" s="25">
        <v>0</v>
      </c>
      <c r="I245" s="25">
        <v>0</v>
      </c>
      <c r="J245" s="25">
        <v>0</v>
      </c>
      <c r="K245" s="25">
        <v>0</v>
      </c>
      <c r="L245" s="25">
        <v>0</v>
      </c>
      <c r="M245" s="25">
        <v>0</v>
      </c>
      <c r="N245" s="25">
        <v>0</v>
      </c>
      <c r="O245" s="25">
        <v>0</v>
      </c>
      <c r="P245" s="25"/>
      <c r="Q245" s="23" t="s">
        <v>28</v>
      </c>
      <c r="R245" s="23">
        <v>1</v>
      </c>
      <c r="S245" s="22">
        <v>2020019.91</v>
      </c>
      <c r="T245" s="22">
        <v>1016043</v>
      </c>
      <c r="U245" s="26" t="s">
        <v>351</v>
      </c>
    </row>
    <row r="246" spans="1:21" s="24" customFormat="1" ht="204" customHeight="1" x14ac:dyDescent="0.25">
      <c r="A246" s="23">
        <v>243</v>
      </c>
      <c r="B246" s="23">
        <v>2154898</v>
      </c>
      <c r="C246" s="23">
        <v>2012</v>
      </c>
      <c r="D246" s="30">
        <v>2022</v>
      </c>
      <c r="E246" s="23" t="s">
        <v>350</v>
      </c>
      <c r="F246" s="25" t="s">
        <v>32</v>
      </c>
      <c r="G246" s="25">
        <v>0</v>
      </c>
      <c r="H246" s="25">
        <v>0</v>
      </c>
      <c r="I246" s="25">
        <v>0</v>
      </c>
      <c r="J246" s="25">
        <v>0</v>
      </c>
      <c r="K246" s="25">
        <v>0</v>
      </c>
      <c r="L246" s="25">
        <v>0</v>
      </c>
      <c r="M246" s="25">
        <v>0</v>
      </c>
      <c r="N246" s="25">
        <v>0</v>
      </c>
      <c r="O246" s="25">
        <v>0</v>
      </c>
      <c r="P246" s="25"/>
      <c r="Q246" s="23" t="s">
        <v>56</v>
      </c>
      <c r="R246" s="23">
        <v>1</v>
      </c>
      <c r="S246" s="22">
        <v>16025122.220000001</v>
      </c>
      <c r="T246" s="22">
        <v>11053514</v>
      </c>
      <c r="U246" s="26" t="s">
        <v>352</v>
      </c>
    </row>
    <row r="247" spans="1:21" s="24" customFormat="1" ht="51" customHeight="1" x14ac:dyDescent="0.25">
      <c r="A247" s="23">
        <v>244</v>
      </c>
      <c r="B247" s="23">
        <v>2156156</v>
      </c>
      <c r="C247" s="23">
        <v>2012</v>
      </c>
      <c r="D247" s="30">
        <v>2022</v>
      </c>
      <c r="E247" s="23" t="s">
        <v>59</v>
      </c>
      <c r="F247" s="25" t="s">
        <v>32</v>
      </c>
      <c r="G247" s="25">
        <v>0</v>
      </c>
      <c r="H247" s="25">
        <v>0</v>
      </c>
      <c r="I247" s="25">
        <v>0</v>
      </c>
      <c r="J247" s="25">
        <v>0</v>
      </c>
      <c r="K247" s="25">
        <v>0</v>
      </c>
      <c r="L247" s="25">
        <v>0</v>
      </c>
      <c r="M247" s="25">
        <v>0</v>
      </c>
      <c r="N247" s="25">
        <v>0</v>
      </c>
      <c r="O247" s="25">
        <v>0</v>
      </c>
      <c r="P247" s="25"/>
      <c r="Q247" s="23" t="s">
        <v>28</v>
      </c>
      <c r="R247" s="23">
        <v>8</v>
      </c>
      <c r="S247" s="22">
        <v>9931593.5800000001</v>
      </c>
      <c r="T247" s="22">
        <v>8894593</v>
      </c>
      <c r="U247" s="26" t="s">
        <v>353</v>
      </c>
    </row>
    <row r="248" spans="1:21" s="24" customFormat="1" ht="127.5" customHeight="1" x14ac:dyDescent="0.25">
      <c r="A248" s="23">
        <v>245</v>
      </c>
      <c r="B248" s="23">
        <v>2194335</v>
      </c>
      <c r="C248" s="23">
        <v>2014</v>
      </c>
      <c r="D248" s="30">
        <v>2023</v>
      </c>
      <c r="E248" s="23" t="s">
        <v>46</v>
      </c>
      <c r="F248" s="25" t="s">
        <v>32</v>
      </c>
      <c r="G248" s="25" t="s">
        <v>26</v>
      </c>
      <c r="H248" s="25">
        <v>0</v>
      </c>
      <c r="I248" s="25">
        <v>0</v>
      </c>
      <c r="J248" s="25">
        <v>0</v>
      </c>
      <c r="K248" s="25">
        <v>0</v>
      </c>
      <c r="L248" s="25">
        <v>0</v>
      </c>
      <c r="M248" s="25">
        <v>0</v>
      </c>
      <c r="N248" s="25">
        <v>0</v>
      </c>
      <c r="O248" s="25">
        <v>0</v>
      </c>
      <c r="P248" s="25"/>
      <c r="Q248" s="23" t="s">
        <v>67</v>
      </c>
      <c r="R248" s="23">
        <v>2</v>
      </c>
      <c r="S248" s="22">
        <v>1819823</v>
      </c>
      <c r="T248" s="22">
        <v>1790362</v>
      </c>
      <c r="U248" s="26" t="s">
        <v>354</v>
      </c>
    </row>
    <row r="249" spans="1:21" s="24" customFormat="1" ht="89.25" customHeight="1" x14ac:dyDescent="0.25">
      <c r="A249" s="23">
        <v>246</v>
      </c>
      <c r="B249" s="23">
        <v>2196790</v>
      </c>
      <c r="C249" s="23">
        <v>2014</v>
      </c>
      <c r="D249" s="30">
        <v>2022</v>
      </c>
      <c r="E249" s="23" t="s">
        <v>46</v>
      </c>
      <c r="F249" s="25" t="s">
        <v>94</v>
      </c>
      <c r="G249" s="25" t="s">
        <v>32</v>
      </c>
      <c r="H249" s="25">
        <v>0</v>
      </c>
      <c r="I249" s="25">
        <v>0</v>
      </c>
      <c r="J249" s="25">
        <v>0</v>
      </c>
      <c r="K249" s="25">
        <v>0</v>
      </c>
      <c r="L249" s="25">
        <v>0</v>
      </c>
      <c r="M249" s="25">
        <v>0</v>
      </c>
      <c r="N249" s="25">
        <v>0</v>
      </c>
      <c r="O249" s="25">
        <v>0</v>
      </c>
      <c r="P249" s="25"/>
      <c r="Q249" s="23" t="s">
        <v>28</v>
      </c>
      <c r="R249" s="23">
        <v>8</v>
      </c>
      <c r="S249" s="22">
        <v>11779044.630000001</v>
      </c>
      <c r="T249" s="22">
        <v>2901579</v>
      </c>
      <c r="U249" s="26" t="s">
        <v>355</v>
      </c>
    </row>
    <row r="250" spans="1:21" s="24" customFormat="1" ht="255" customHeight="1" x14ac:dyDescent="0.25">
      <c r="A250" s="23">
        <v>247</v>
      </c>
      <c r="B250" s="23">
        <v>2196910</v>
      </c>
      <c r="C250" s="23">
        <v>2014</v>
      </c>
      <c r="D250" s="30">
        <v>2022</v>
      </c>
      <c r="E250" s="23" t="s">
        <v>46</v>
      </c>
      <c r="F250" s="25" t="s">
        <v>25</v>
      </c>
      <c r="G250" s="25" t="s">
        <v>32</v>
      </c>
      <c r="H250" s="25">
        <v>0</v>
      </c>
      <c r="I250" s="25">
        <v>0</v>
      </c>
      <c r="J250" s="25">
        <v>0</v>
      </c>
      <c r="K250" s="25">
        <v>0</v>
      </c>
      <c r="L250" s="25">
        <v>0</v>
      </c>
      <c r="M250" s="25">
        <v>0</v>
      </c>
      <c r="N250" s="25">
        <v>0</v>
      </c>
      <c r="O250" s="25">
        <v>0</v>
      </c>
      <c r="P250" s="25"/>
      <c r="Q250" s="23" t="s">
        <v>67</v>
      </c>
      <c r="R250" s="23">
        <v>1</v>
      </c>
      <c r="S250" s="22">
        <v>2696986.34</v>
      </c>
      <c r="T250" s="22">
        <v>2172704</v>
      </c>
      <c r="U250" s="26" t="s">
        <v>356</v>
      </c>
    </row>
    <row r="251" spans="1:21" s="24" customFormat="1" ht="63.75" customHeight="1" x14ac:dyDescent="0.25">
      <c r="A251" s="23">
        <v>248</v>
      </c>
      <c r="B251" s="23">
        <v>2179207</v>
      </c>
      <c r="C251" s="23">
        <v>2014</v>
      </c>
      <c r="D251" s="30">
        <v>2022</v>
      </c>
      <c r="E251" s="23" t="s">
        <v>46</v>
      </c>
      <c r="F251" s="25" t="s">
        <v>357</v>
      </c>
      <c r="G251" s="25" t="s">
        <v>32</v>
      </c>
      <c r="H251" s="25">
        <v>0</v>
      </c>
      <c r="I251" s="25">
        <v>0</v>
      </c>
      <c r="J251" s="25">
        <v>0</v>
      </c>
      <c r="K251" s="25">
        <v>0</v>
      </c>
      <c r="L251" s="25">
        <v>0</v>
      </c>
      <c r="M251" s="25">
        <v>0</v>
      </c>
      <c r="N251" s="25">
        <v>0</v>
      </c>
      <c r="O251" s="25">
        <v>0</v>
      </c>
      <c r="P251" s="25"/>
      <c r="Q251" s="23" t="s">
        <v>28</v>
      </c>
      <c r="R251" s="23">
        <v>1</v>
      </c>
      <c r="S251" s="22">
        <v>2783875.7</v>
      </c>
      <c r="T251" s="22">
        <v>2784678</v>
      </c>
      <c r="U251" s="26" t="s">
        <v>358</v>
      </c>
    </row>
    <row r="252" spans="1:21" s="24" customFormat="1" ht="178.5" customHeight="1" x14ac:dyDescent="0.25">
      <c r="A252" s="23">
        <v>249</v>
      </c>
      <c r="B252" s="23">
        <v>2176086</v>
      </c>
      <c r="C252" s="23">
        <v>2014</v>
      </c>
      <c r="D252" s="30">
        <v>2022</v>
      </c>
      <c r="E252" s="23" t="s">
        <v>46</v>
      </c>
      <c r="F252" s="25" t="s">
        <v>21</v>
      </c>
      <c r="G252" s="25" t="s">
        <v>60</v>
      </c>
      <c r="H252" s="25" t="s">
        <v>32</v>
      </c>
      <c r="I252" s="25">
        <v>0</v>
      </c>
      <c r="J252" s="25">
        <v>0</v>
      </c>
      <c r="K252" s="25">
        <v>0</v>
      </c>
      <c r="L252" s="25">
        <v>0</v>
      </c>
      <c r="M252" s="25">
        <v>0</v>
      </c>
      <c r="N252" s="25">
        <v>0</v>
      </c>
      <c r="O252" s="25">
        <v>0</v>
      </c>
      <c r="P252" s="25"/>
      <c r="Q252" s="23" t="s">
        <v>56</v>
      </c>
      <c r="R252" s="23">
        <v>1</v>
      </c>
      <c r="S252" s="22">
        <v>3342478.47</v>
      </c>
      <c r="T252" s="22">
        <v>3368947</v>
      </c>
      <c r="U252" s="26" t="s">
        <v>359</v>
      </c>
    </row>
    <row r="253" spans="1:21" s="24" customFormat="1" ht="255" customHeight="1" x14ac:dyDescent="0.25">
      <c r="A253" s="23">
        <v>250</v>
      </c>
      <c r="B253" s="23">
        <v>2173458</v>
      </c>
      <c r="C253" s="23">
        <v>2014</v>
      </c>
      <c r="D253" s="30">
        <v>2022</v>
      </c>
      <c r="E253" s="23" t="s">
        <v>46</v>
      </c>
      <c r="F253" s="25" t="s">
        <v>32</v>
      </c>
      <c r="G253" s="25">
        <v>0</v>
      </c>
      <c r="H253" s="25">
        <v>0</v>
      </c>
      <c r="I253" s="25">
        <v>0</v>
      </c>
      <c r="J253" s="25">
        <v>0</v>
      </c>
      <c r="K253" s="25">
        <v>0</v>
      </c>
      <c r="L253" s="25">
        <v>0</v>
      </c>
      <c r="M253" s="25">
        <v>0</v>
      </c>
      <c r="N253" s="25">
        <v>0</v>
      </c>
      <c r="O253" s="25">
        <v>0</v>
      </c>
      <c r="P253" s="25"/>
      <c r="Q253" s="23" t="s">
        <v>41</v>
      </c>
      <c r="R253" s="23">
        <v>3</v>
      </c>
      <c r="S253" s="22">
        <v>7654107.1500000004</v>
      </c>
      <c r="T253" s="22">
        <v>2007328</v>
      </c>
      <c r="U253" s="26" t="s">
        <v>360</v>
      </c>
    </row>
    <row r="254" spans="1:21" s="24" customFormat="1" ht="178.5" customHeight="1" x14ac:dyDescent="0.25">
      <c r="A254" s="23">
        <v>251</v>
      </c>
      <c r="B254" s="23">
        <v>2193848</v>
      </c>
      <c r="C254" s="23">
        <v>2015</v>
      </c>
      <c r="D254" s="30">
        <v>2022</v>
      </c>
      <c r="E254" s="23" t="s">
        <v>20</v>
      </c>
      <c r="F254" s="25" t="s">
        <v>22</v>
      </c>
      <c r="G254" s="25" t="s">
        <v>36</v>
      </c>
      <c r="H254" s="25" t="s">
        <v>32</v>
      </c>
      <c r="I254" s="25">
        <v>0</v>
      </c>
      <c r="J254" s="25">
        <v>0</v>
      </c>
      <c r="K254" s="25">
        <v>0</v>
      </c>
      <c r="L254" s="25">
        <v>0</v>
      </c>
      <c r="M254" s="25">
        <v>0</v>
      </c>
      <c r="N254" s="25">
        <v>0</v>
      </c>
      <c r="O254" s="25">
        <v>0</v>
      </c>
      <c r="P254" s="25"/>
      <c r="Q254" s="23" t="s">
        <v>28</v>
      </c>
      <c r="R254" s="23">
        <v>1</v>
      </c>
      <c r="S254" s="22">
        <v>2662888.85</v>
      </c>
      <c r="T254" s="22">
        <v>3060662</v>
      </c>
      <c r="U254" s="26" t="s">
        <v>361</v>
      </c>
    </row>
    <row r="255" spans="1:21" s="24" customFormat="1" x14ac:dyDescent="0.25">
      <c r="A255" s="23">
        <v>252</v>
      </c>
      <c r="B255" s="23">
        <v>2262287</v>
      </c>
      <c r="C255" s="23">
        <v>2026</v>
      </c>
      <c r="D255" s="30">
        <v>2026</v>
      </c>
      <c r="E255" s="23" t="s">
        <v>40</v>
      </c>
      <c r="F255" s="25">
        <v>0</v>
      </c>
      <c r="G255" s="25">
        <v>0</v>
      </c>
      <c r="H255" s="25">
        <v>0</v>
      </c>
      <c r="I255" s="25">
        <v>0</v>
      </c>
      <c r="J255" s="25">
        <v>0</v>
      </c>
      <c r="K255" s="25">
        <v>0</v>
      </c>
      <c r="L255" s="25">
        <v>0</v>
      </c>
      <c r="M255" s="25">
        <v>0</v>
      </c>
      <c r="N255" s="25">
        <v>0</v>
      </c>
      <c r="O255" s="25">
        <v>0</v>
      </c>
      <c r="P255" s="25"/>
      <c r="Q255" s="23" t="s">
        <v>272</v>
      </c>
      <c r="R255" s="23">
        <v>1</v>
      </c>
      <c r="S255" s="22">
        <v>33905647.600000001</v>
      </c>
      <c r="T255" s="22">
        <v>5000000</v>
      </c>
      <c r="U255" s="26" t="s">
        <v>269</v>
      </c>
    </row>
    <row r="256" spans="1:21" s="24" customFormat="1" x14ac:dyDescent="0.25">
      <c r="A256" s="23">
        <v>253</v>
      </c>
      <c r="B256" s="23">
        <v>2309933</v>
      </c>
      <c r="C256" s="23">
        <v>2026</v>
      </c>
      <c r="D256" s="30">
        <v>2026</v>
      </c>
      <c r="E256" s="23" t="s">
        <v>40</v>
      </c>
      <c r="F256" s="25">
        <v>0</v>
      </c>
      <c r="G256" s="25">
        <v>0</v>
      </c>
      <c r="H256" s="25">
        <v>0</v>
      </c>
      <c r="I256" s="25">
        <v>0</v>
      </c>
      <c r="J256" s="25">
        <v>0</v>
      </c>
      <c r="K256" s="25">
        <v>0</v>
      </c>
      <c r="L256" s="25">
        <v>0</v>
      </c>
      <c r="M256" s="25">
        <v>0</v>
      </c>
      <c r="N256" s="25">
        <v>0</v>
      </c>
      <c r="O256" s="25">
        <v>0</v>
      </c>
      <c r="P256" s="25"/>
      <c r="Q256" s="23" t="s">
        <v>269</v>
      </c>
      <c r="R256" s="23">
        <v>1</v>
      </c>
      <c r="S256" s="22">
        <v>20484332.5</v>
      </c>
      <c r="T256" s="22">
        <v>5729161</v>
      </c>
      <c r="U256" s="26" t="s">
        <v>269</v>
      </c>
    </row>
    <row r="257" spans="1:21" s="24" customFormat="1" ht="165.75" customHeight="1" x14ac:dyDescent="0.25">
      <c r="A257" s="23">
        <v>254</v>
      </c>
      <c r="B257" s="23">
        <v>2251273</v>
      </c>
      <c r="C257" s="23" t="s">
        <v>19</v>
      </c>
      <c r="D257" s="30">
        <v>2026</v>
      </c>
      <c r="E257" s="23" t="s">
        <v>38</v>
      </c>
      <c r="F257" s="25" t="s">
        <v>32</v>
      </c>
      <c r="G257" s="25" t="s">
        <v>26</v>
      </c>
      <c r="H257" s="25" t="s">
        <v>40</v>
      </c>
      <c r="I257" s="25">
        <v>0</v>
      </c>
      <c r="J257" s="25">
        <v>0</v>
      </c>
      <c r="K257" s="25">
        <v>0</v>
      </c>
      <c r="L257" s="25">
        <v>0</v>
      </c>
      <c r="M257" s="25">
        <v>0</v>
      </c>
      <c r="N257" s="25">
        <v>0</v>
      </c>
      <c r="O257" s="25">
        <v>0</v>
      </c>
      <c r="P257" s="25"/>
      <c r="Q257" s="23" t="s">
        <v>89</v>
      </c>
      <c r="R257" s="23">
        <v>4</v>
      </c>
      <c r="S257" s="22">
        <v>5155255.68</v>
      </c>
      <c r="T257" s="22">
        <v>8092898</v>
      </c>
      <c r="U257" s="26" t="s">
        <v>362</v>
      </c>
    </row>
    <row r="258" spans="1:21" s="24" customFormat="1" ht="76.5" customHeight="1" x14ac:dyDescent="0.25">
      <c r="A258" s="23">
        <v>255</v>
      </c>
      <c r="B258" s="23">
        <v>2258266</v>
      </c>
      <c r="C258" s="23" t="s">
        <v>19</v>
      </c>
      <c r="D258" s="30">
        <v>2023</v>
      </c>
      <c r="E258" s="23" t="s">
        <v>38</v>
      </c>
      <c r="F258" s="25" t="s">
        <v>32</v>
      </c>
      <c r="G258" s="25" t="s">
        <v>26</v>
      </c>
      <c r="H258" s="25">
        <v>0</v>
      </c>
      <c r="I258" s="25">
        <v>0</v>
      </c>
      <c r="J258" s="25">
        <v>0</v>
      </c>
      <c r="K258" s="25">
        <v>0</v>
      </c>
      <c r="L258" s="25">
        <v>0</v>
      </c>
      <c r="M258" s="25">
        <v>0</v>
      </c>
      <c r="N258" s="25">
        <v>0</v>
      </c>
      <c r="O258" s="25">
        <v>0</v>
      </c>
      <c r="P258" s="25"/>
      <c r="Q258" s="23" t="s">
        <v>89</v>
      </c>
      <c r="R258" s="23">
        <v>1</v>
      </c>
      <c r="S258" s="22">
        <v>885534.63</v>
      </c>
      <c r="T258" s="22">
        <v>236269</v>
      </c>
      <c r="U258" s="26" t="s">
        <v>363</v>
      </c>
    </row>
    <row r="259" spans="1:21" s="24" customFormat="1" ht="191.25" customHeight="1" x14ac:dyDescent="0.25">
      <c r="A259" s="23">
        <v>256</v>
      </c>
      <c r="B259" s="23">
        <v>2231665</v>
      </c>
      <c r="C259" s="23">
        <v>2016</v>
      </c>
      <c r="D259" s="30">
        <v>2022</v>
      </c>
      <c r="E259" s="23" t="s">
        <v>22</v>
      </c>
      <c r="F259" s="25" t="s">
        <v>32</v>
      </c>
      <c r="G259" s="25">
        <v>0</v>
      </c>
      <c r="H259" s="25">
        <v>0</v>
      </c>
      <c r="I259" s="25">
        <v>0</v>
      </c>
      <c r="J259" s="25">
        <v>0</v>
      </c>
      <c r="K259" s="25">
        <v>0</v>
      </c>
      <c r="L259" s="25">
        <v>0</v>
      </c>
      <c r="M259" s="25">
        <v>0</v>
      </c>
      <c r="N259" s="25">
        <v>0</v>
      </c>
      <c r="O259" s="25">
        <v>0</v>
      </c>
      <c r="P259" s="25"/>
      <c r="Q259" s="23" t="s">
        <v>28</v>
      </c>
      <c r="R259" s="23">
        <v>23</v>
      </c>
      <c r="S259" s="22">
        <v>4835813.5999999996</v>
      </c>
      <c r="T259" s="22">
        <v>4338619.4000000004</v>
      </c>
      <c r="U259" s="26" t="s">
        <v>364</v>
      </c>
    </row>
    <row r="260" spans="1:21" s="24" customFormat="1" ht="178.5" customHeight="1" x14ac:dyDescent="0.25">
      <c r="A260" s="23">
        <v>257</v>
      </c>
      <c r="B260" s="23">
        <v>2231667</v>
      </c>
      <c r="C260" s="23">
        <v>2016</v>
      </c>
      <c r="D260" s="30">
        <v>2023</v>
      </c>
      <c r="E260" s="23" t="s">
        <v>22</v>
      </c>
      <c r="F260" s="25" t="s">
        <v>44</v>
      </c>
      <c r="G260" s="25" t="s">
        <v>32</v>
      </c>
      <c r="H260" s="25" t="s">
        <v>26</v>
      </c>
      <c r="I260" s="25">
        <v>0</v>
      </c>
      <c r="J260" s="25">
        <v>0</v>
      </c>
      <c r="K260" s="25">
        <v>0</v>
      </c>
      <c r="L260" s="25">
        <v>0</v>
      </c>
      <c r="M260" s="25">
        <v>0</v>
      </c>
      <c r="N260" s="25">
        <v>0</v>
      </c>
      <c r="O260" s="25">
        <v>0</v>
      </c>
      <c r="P260" s="25"/>
      <c r="Q260" s="23" t="s">
        <v>28</v>
      </c>
      <c r="R260" s="23">
        <v>19</v>
      </c>
      <c r="S260" s="22">
        <v>3700906.15</v>
      </c>
      <c r="T260" s="22">
        <v>5691182.2000000002</v>
      </c>
      <c r="U260" s="26" t="s">
        <v>365</v>
      </c>
    </row>
    <row r="261" spans="1:21" s="24" customFormat="1" ht="76.5" customHeight="1" x14ac:dyDescent="0.25">
      <c r="A261" s="23">
        <v>258</v>
      </c>
      <c r="B261" s="23">
        <v>2231666</v>
      </c>
      <c r="C261" s="23">
        <v>2016</v>
      </c>
      <c r="D261" s="30">
        <v>2022</v>
      </c>
      <c r="E261" s="23" t="s">
        <v>22</v>
      </c>
      <c r="F261" s="25" t="s">
        <v>44</v>
      </c>
      <c r="G261" s="25" t="s">
        <v>32</v>
      </c>
      <c r="H261" s="25">
        <v>0</v>
      </c>
      <c r="I261" s="25">
        <v>0</v>
      </c>
      <c r="J261" s="25">
        <v>0</v>
      </c>
      <c r="K261" s="25">
        <v>0</v>
      </c>
      <c r="L261" s="25">
        <v>0</v>
      </c>
      <c r="M261" s="25">
        <v>0</v>
      </c>
      <c r="N261" s="25">
        <v>0</v>
      </c>
      <c r="O261" s="25">
        <v>0</v>
      </c>
      <c r="P261" s="25"/>
      <c r="Q261" s="23" t="s">
        <v>41</v>
      </c>
      <c r="R261" s="23">
        <v>33</v>
      </c>
      <c r="S261" s="22">
        <v>5062331.6500000004</v>
      </c>
      <c r="T261" s="22">
        <v>4874538</v>
      </c>
      <c r="U261" s="26" t="s">
        <v>366</v>
      </c>
    </row>
    <row r="262" spans="1:21" s="24" customFormat="1" ht="63.75" customHeight="1" x14ac:dyDescent="0.25">
      <c r="A262" s="23">
        <v>259</v>
      </c>
      <c r="B262" s="23">
        <v>2281355</v>
      </c>
      <c r="C262" s="23" t="s">
        <v>43</v>
      </c>
      <c r="D262" s="30">
        <v>2023</v>
      </c>
      <c r="E262" s="23" t="s">
        <v>44</v>
      </c>
      <c r="F262" s="25" t="s">
        <v>23</v>
      </c>
      <c r="G262" s="25" t="s">
        <v>32</v>
      </c>
      <c r="H262" s="25" t="s">
        <v>26</v>
      </c>
      <c r="I262" s="25">
        <v>0</v>
      </c>
      <c r="J262" s="25">
        <v>0</v>
      </c>
      <c r="K262" s="25">
        <v>0</v>
      </c>
      <c r="L262" s="25">
        <v>0</v>
      </c>
      <c r="M262" s="25">
        <v>0</v>
      </c>
      <c r="N262" s="25">
        <v>0</v>
      </c>
      <c r="O262" s="25">
        <v>0</v>
      </c>
      <c r="P262" s="25"/>
      <c r="Q262" s="23" t="s">
        <v>28</v>
      </c>
      <c r="R262" s="23">
        <v>1</v>
      </c>
      <c r="S262" s="22">
        <v>14328063.140000001</v>
      </c>
      <c r="T262" s="22">
        <v>13689569</v>
      </c>
      <c r="U262" s="26" t="s">
        <v>367</v>
      </c>
    </row>
    <row r="263" spans="1:21" s="24" customFormat="1" ht="280.5" customHeight="1" x14ac:dyDescent="0.25">
      <c r="A263" s="23">
        <v>260</v>
      </c>
      <c r="B263" s="23">
        <v>2250325</v>
      </c>
      <c r="C263" s="23">
        <v>2017</v>
      </c>
      <c r="D263" s="30">
        <v>2023</v>
      </c>
      <c r="E263" s="23" t="s">
        <v>44</v>
      </c>
      <c r="F263" s="25" t="s">
        <v>25</v>
      </c>
      <c r="G263" s="25" t="s">
        <v>32</v>
      </c>
      <c r="H263" s="25" t="s">
        <v>26</v>
      </c>
      <c r="I263" s="25">
        <v>0</v>
      </c>
      <c r="J263" s="25">
        <v>0</v>
      </c>
      <c r="K263" s="25">
        <v>0</v>
      </c>
      <c r="L263" s="25">
        <v>0</v>
      </c>
      <c r="M263" s="25">
        <v>0</v>
      </c>
      <c r="N263" s="25">
        <v>0</v>
      </c>
      <c r="O263" s="25">
        <v>0</v>
      </c>
      <c r="P263" s="25"/>
      <c r="Q263" s="23" t="s">
        <v>28</v>
      </c>
      <c r="R263" s="23">
        <v>1</v>
      </c>
      <c r="S263" s="22">
        <v>14753328.24</v>
      </c>
      <c r="T263" s="22">
        <v>9523526</v>
      </c>
      <c r="U263" s="26" t="s">
        <v>368</v>
      </c>
    </row>
    <row r="264" spans="1:21" s="24" customFormat="1" ht="63.75" customHeight="1" x14ac:dyDescent="0.25">
      <c r="A264" s="23">
        <v>261</v>
      </c>
      <c r="B264" s="23">
        <v>2127726</v>
      </c>
      <c r="C264" s="23">
        <v>2017</v>
      </c>
      <c r="D264" s="30">
        <v>2022</v>
      </c>
      <c r="E264" s="23" t="s">
        <v>44</v>
      </c>
      <c r="F264" s="25" t="s">
        <v>134</v>
      </c>
      <c r="G264" s="25" t="s">
        <v>64</v>
      </c>
      <c r="H264" s="25" t="s">
        <v>65</v>
      </c>
      <c r="I264" s="25" t="s">
        <v>25</v>
      </c>
      <c r="J264" s="25" t="s">
        <v>70</v>
      </c>
      <c r="K264" s="25" t="s">
        <v>32</v>
      </c>
      <c r="L264" s="25">
        <v>0</v>
      </c>
      <c r="M264" s="25">
        <v>0</v>
      </c>
      <c r="N264" s="25">
        <v>0</v>
      </c>
      <c r="O264" s="25">
        <v>0</v>
      </c>
      <c r="P264" s="25"/>
      <c r="Q264" s="23" t="s">
        <v>28</v>
      </c>
      <c r="R264" s="23">
        <v>1</v>
      </c>
      <c r="S264" s="22">
        <v>11205908.58</v>
      </c>
      <c r="T264" s="22">
        <v>15600765</v>
      </c>
      <c r="U264" s="26" t="s">
        <v>369</v>
      </c>
    </row>
    <row r="265" spans="1:21" s="24" customFormat="1" ht="89.25" customHeight="1" x14ac:dyDescent="0.25">
      <c r="A265" s="23">
        <v>262</v>
      </c>
      <c r="B265" s="23">
        <v>2319378</v>
      </c>
      <c r="C265" s="23" t="s">
        <v>43</v>
      </c>
      <c r="D265" s="30">
        <v>2022</v>
      </c>
      <c r="E265" s="23" t="s">
        <v>36</v>
      </c>
      <c r="F265" s="25" t="s">
        <v>49</v>
      </c>
      <c r="G265" s="25" t="s">
        <v>24</v>
      </c>
      <c r="H265" s="25" t="s">
        <v>39</v>
      </c>
      <c r="I265" s="25" t="s">
        <v>32</v>
      </c>
      <c r="J265" s="25">
        <v>0</v>
      </c>
      <c r="K265" s="25">
        <v>0</v>
      </c>
      <c r="L265" s="25">
        <v>0</v>
      </c>
      <c r="M265" s="25">
        <v>0</v>
      </c>
      <c r="N265" s="25">
        <v>0</v>
      </c>
      <c r="O265" s="25">
        <v>0</v>
      </c>
      <c r="P265" s="25"/>
      <c r="Q265" s="23" t="s">
        <v>28</v>
      </c>
      <c r="R265" s="23">
        <v>4</v>
      </c>
      <c r="S265" s="22">
        <v>11513922.279999999</v>
      </c>
      <c r="T265" s="22">
        <v>11551963</v>
      </c>
      <c r="U265" s="26" t="s">
        <v>370</v>
      </c>
    </row>
    <row r="266" spans="1:21" s="24" customFormat="1" ht="204" customHeight="1" x14ac:dyDescent="0.25">
      <c r="A266" s="23">
        <v>263</v>
      </c>
      <c r="B266" s="23">
        <v>2245791</v>
      </c>
      <c r="C266" s="23" t="s">
        <v>43</v>
      </c>
      <c r="D266" s="30">
        <v>2022</v>
      </c>
      <c r="E266" s="23" t="s">
        <v>36</v>
      </c>
      <c r="F266" s="25" t="s">
        <v>49</v>
      </c>
      <c r="G266" s="25" t="s">
        <v>24</v>
      </c>
      <c r="H266" s="25" t="s">
        <v>39</v>
      </c>
      <c r="I266" s="25" t="s">
        <v>32</v>
      </c>
      <c r="J266" s="25">
        <v>0</v>
      </c>
      <c r="K266" s="25">
        <v>0</v>
      </c>
      <c r="L266" s="25">
        <v>0</v>
      </c>
      <c r="M266" s="25">
        <v>0</v>
      </c>
      <c r="N266" s="25">
        <v>0</v>
      </c>
      <c r="O266" s="25">
        <v>0</v>
      </c>
      <c r="P266" s="25"/>
      <c r="Q266" s="23" t="s">
        <v>28</v>
      </c>
      <c r="R266" s="23">
        <v>1</v>
      </c>
      <c r="S266" s="22">
        <v>2891639.83</v>
      </c>
      <c r="T266" s="22">
        <v>2987061</v>
      </c>
      <c r="U266" s="26" t="s">
        <v>371</v>
      </c>
    </row>
    <row r="267" spans="1:21" s="24" customFormat="1" ht="114.75" customHeight="1" x14ac:dyDescent="0.25">
      <c r="A267" s="23">
        <v>264</v>
      </c>
      <c r="B267" s="23">
        <v>2245756</v>
      </c>
      <c r="C267" s="23" t="s">
        <v>43</v>
      </c>
      <c r="D267" s="30">
        <v>2022</v>
      </c>
      <c r="E267" s="23" t="s">
        <v>36</v>
      </c>
      <c r="F267" s="25" t="s">
        <v>23</v>
      </c>
      <c r="G267" s="25" t="s">
        <v>24</v>
      </c>
      <c r="H267" s="25" t="s">
        <v>64</v>
      </c>
      <c r="I267" s="25" t="s">
        <v>25</v>
      </c>
      <c r="J267" s="25" t="s">
        <v>32</v>
      </c>
      <c r="K267" s="25">
        <v>0</v>
      </c>
      <c r="L267" s="25">
        <v>0</v>
      </c>
      <c r="M267" s="25">
        <v>0</v>
      </c>
      <c r="N267" s="25">
        <v>0</v>
      </c>
      <c r="O267" s="25">
        <v>0</v>
      </c>
      <c r="P267" s="25"/>
      <c r="Q267" s="23" t="s">
        <v>28</v>
      </c>
      <c r="R267" s="23">
        <v>1</v>
      </c>
      <c r="S267" s="22">
        <v>8856046.5</v>
      </c>
      <c r="T267" s="22">
        <v>9201589</v>
      </c>
      <c r="U267" s="26" t="s">
        <v>372</v>
      </c>
    </row>
    <row r="268" spans="1:21" s="24" customFormat="1" ht="63.75" customHeight="1" x14ac:dyDescent="0.25">
      <c r="A268" s="23">
        <v>265</v>
      </c>
      <c r="B268" s="23">
        <v>2280982</v>
      </c>
      <c r="C268" s="23" t="s">
        <v>173</v>
      </c>
      <c r="D268" s="30">
        <v>2022</v>
      </c>
      <c r="E268" s="23" t="s">
        <v>152</v>
      </c>
      <c r="F268" s="25" t="s">
        <v>24</v>
      </c>
      <c r="G268" s="25" t="s">
        <v>25</v>
      </c>
      <c r="H268" s="25" t="s">
        <v>32</v>
      </c>
      <c r="I268" s="25">
        <v>0</v>
      </c>
      <c r="J268" s="25">
        <v>0</v>
      </c>
      <c r="K268" s="25">
        <v>0</v>
      </c>
      <c r="L268" s="25">
        <v>0</v>
      </c>
      <c r="M268" s="25">
        <v>0</v>
      </c>
      <c r="N268" s="25">
        <v>0</v>
      </c>
      <c r="O268" s="25">
        <v>0</v>
      </c>
      <c r="P268" s="25"/>
      <c r="Q268" s="23" t="s">
        <v>28</v>
      </c>
      <c r="R268" s="23">
        <v>1</v>
      </c>
      <c r="S268" s="22">
        <v>6053251.0300000003</v>
      </c>
      <c r="T268" s="22">
        <v>5928257</v>
      </c>
      <c r="U268" s="26" t="s">
        <v>373</v>
      </c>
    </row>
    <row r="269" spans="1:21" s="24" customFormat="1" ht="63.75" customHeight="1" x14ac:dyDescent="0.25">
      <c r="A269" s="23">
        <v>266</v>
      </c>
      <c r="B269" s="23">
        <v>2320916</v>
      </c>
      <c r="C269" s="23" t="s">
        <v>188</v>
      </c>
      <c r="D269" s="30">
        <v>2022</v>
      </c>
      <c r="E269" s="23" t="s">
        <v>60</v>
      </c>
      <c r="F269" s="25" t="s">
        <v>65</v>
      </c>
      <c r="G269" s="25" t="s">
        <v>39</v>
      </c>
      <c r="H269" s="25" t="s">
        <v>25</v>
      </c>
      <c r="I269" s="25" t="s">
        <v>70</v>
      </c>
      <c r="J269" s="25" t="s">
        <v>32</v>
      </c>
      <c r="K269" s="25">
        <v>0</v>
      </c>
      <c r="L269" s="25">
        <v>0</v>
      </c>
      <c r="M269" s="25">
        <v>0</v>
      </c>
      <c r="N269" s="25">
        <v>0</v>
      </c>
      <c r="O269" s="25">
        <v>0</v>
      </c>
      <c r="P269" s="25"/>
      <c r="Q269" s="23" t="s">
        <v>28</v>
      </c>
      <c r="R269" s="23">
        <v>3</v>
      </c>
      <c r="S269" s="22">
        <v>15051069.58</v>
      </c>
      <c r="T269" s="22">
        <v>19189882</v>
      </c>
      <c r="U269" s="26" t="s">
        <v>374</v>
      </c>
    </row>
    <row r="270" spans="1:21" s="24" customFormat="1" ht="140.25" customHeight="1" x14ac:dyDescent="0.25">
      <c r="A270" s="23">
        <v>267</v>
      </c>
      <c r="B270" s="23">
        <v>2456280</v>
      </c>
      <c r="C270" s="23">
        <v>2021</v>
      </c>
      <c r="D270" s="30">
        <v>2022</v>
      </c>
      <c r="E270" s="23" t="s">
        <v>70</v>
      </c>
      <c r="F270" s="25" t="s">
        <v>71</v>
      </c>
      <c r="G270" s="25">
        <v>0</v>
      </c>
      <c r="H270" s="25">
        <v>0</v>
      </c>
      <c r="I270" s="25">
        <v>0</v>
      </c>
      <c r="J270" s="25">
        <v>0</v>
      </c>
      <c r="K270" s="25">
        <v>0</v>
      </c>
      <c r="L270" s="25">
        <v>0</v>
      </c>
      <c r="M270" s="25">
        <v>0</v>
      </c>
      <c r="N270" s="25">
        <v>0</v>
      </c>
      <c r="O270" s="25">
        <v>0</v>
      </c>
      <c r="P270" s="25"/>
      <c r="Q270" s="23" t="s">
        <v>28</v>
      </c>
      <c r="R270" s="23">
        <v>5</v>
      </c>
      <c r="S270" s="22">
        <v>16328616.41</v>
      </c>
      <c r="T270" s="22">
        <v>16818186</v>
      </c>
      <c r="U270" s="26" t="s">
        <v>375</v>
      </c>
    </row>
    <row r="271" spans="1:21" s="24" customFormat="1" ht="114.75" customHeight="1" x14ac:dyDescent="0.25">
      <c r="A271" s="23">
        <v>268</v>
      </c>
      <c r="B271" s="23">
        <v>2243384</v>
      </c>
      <c r="C271" s="23">
        <v>2021</v>
      </c>
      <c r="D271" s="30">
        <v>2022</v>
      </c>
      <c r="E271" s="23" t="s">
        <v>70</v>
      </c>
      <c r="F271" s="25" t="s">
        <v>71</v>
      </c>
      <c r="G271" s="25">
        <v>0</v>
      </c>
      <c r="H271" s="25">
        <v>0</v>
      </c>
      <c r="I271" s="25">
        <v>0</v>
      </c>
      <c r="J271" s="25">
        <v>0</v>
      </c>
      <c r="K271" s="25">
        <v>0</v>
      </c>
      <c r="L271" s="25">
        <v>0</v>
      </c>
      <c r="M271" s="25">
        <v>0</v>
      </c>
      <c r="N271" s="25">
        <v>0</v>
      </c>
      <c r="O271" s="25">
        <v>0</v>
      </c>
      <c r="P271" s="25"/>
      <c r="Q271" s="23" t="s">
        <v>28</v>
      </c>
      <c r="R271" s="23">
        <v>1</v>
      </c>
      <c r="S271" s="22">
        <v>12097913.939999999</v>
      </c>
      <c r="T271" s="22">
        <v>11430710</v>
      </c>
      <c r="U271" s="26" t="s">
        <v>376</v>
      </c>
    </row>
    <row r="272" spans="1:21" s="24" customFormat="1" ht="267.75" customHeight="1" x14ac:dyDescent="0.25">
      <c r="A272" s="23">
        <v>269</v>
      </c>
      <c r="B272" s="23">
        <v>2294966</v>
      </c>
      <c r="C272" s="23">
        <v>2021</v>
      </c>
      <c r="D272" s="30">
        <v>2022</v>
      </c>
      <c r="E272" s="23" t="s">
        <v>25</v>
      </c>
      <c r="F272" s="25" t="s">
        <v>70</v>
      </c>
      <c r="G272" s="25" t="s">
        <v>32</v>
      </c>
      <c r="H272" s="25" t="s">
        <v>71</v>
      </c>
      <c r="I272" s="25">
        <v>0</v>
      </c>
      <c r="J272" s="25">
        <v>0</v>
      </c>
      <c r="K272" s="25">
        <v>0</v>
      </c>
      <c r="L272" s="25">
        <v>0</v>
      </c>
      <c r="M272" s="25">
        <v>0</v>
      </c>
      <c r="N272" s="25">
        <v>0</v>
      </c>
      <c r="O272" s="25">
        <v>0</v>
      </c>
      <c r="P272" s="25"/>
      <c r="Q272" s="23" t="s">
        <v>56</v>
      </c>
      <c r="R272" s="23">
        <v>1</v>
      </c>
      <c r="S272" s="22">
        <v>8876639.4800000004</v>
      </c>
      <c r="T272" s="22">
        <v>8821139</v>
      </c>
      <c r="U272" s="26" t="s">
        <v>377</v>
      </c>
    </row>
    <row r="273" spans="1:21" s="24" customFormat="1" ht="51" customHeight="1" x14ac:dyDescent="0.25">
      <c r="A273" s="23">
        <v>270</v>
      </c>
      <c r="B273" s="23">
        <v>2216932</v>
      </c>
      <c r="C273" s="23">
        <v>2012</v>
      </c>
      <c r="D273" s="30">
        <v>2023</v>
      </c>
      <c r="E273" s="23" t="s">
        <v>59</v>
      </c>
      <c r="F273" s="25" t="s">
        <v>26</v>
      </c>
      <c r="G273" s="25">
        <v>0</v>
      </c>
      <c r="H273" s="25">
        <v>0</v>
      </c>
      <c r="I273" s="25">
        <v>0</v>
      </c>
      <c r="J273" s="25">
        <v>0</v>
      </c>
      <c r="K273" s="25">
        <v>0</v>
      </c>
      <c r="L273" s="25">
        <v>0</v>
      </c>
      <c r="M273" s="25">
        <v>0</v>
      </c>
      <c r="N273" s="25">
        <v>0</v>
      </c>
      <c r="O273" s="25">
        <v>0</v>
      </c>
      <c r="P273" s="25"/>
      <c r="Q273" s="23" t="s">
        <v>28</v>
      </c>
      <c r="R273" s="23">
        <v>1</v>
      </c>
      <c r="S273" s="22">
        <v>1083527.03</v>
      </c>
      <c r="T273" s="22">
        <v>865402</v>
      </c>
      <c r="U273" s="26" t="s">
        <v>378</v>
      </c>
    </row>
    <row r="274" spans="1:21" s="24" customFormat="1" ht="38.25" customHeight="1" x14ac:dyDescent="0.25">
      <c r="A274" s="23">
        <v>271</v>
      </c>
      <c r="B274" s="23">
        <v>2160742</v>
      </c>
      <c r="C274" s="23">
        <v>2014</v>
      </c>
      <c r="D274" s="30">
        <v>2023</v>
      </c>
      <c r="E274" s="23" t="s">
        <v>31</v>
      </c>
      <c r="F274" s="25" t="s">
        <v>26</v>
      </c>
      <c r="G274" s="25">
        <v>0</v>
      </c>
      <c r="H274" s="25">
        <v>0</v>
      </c>
      <c r="I274" s="25">
        <v>0</v>
      </c>
      <c r="J274" s="25">
        <v>0</v>
      </c>
      <c r="K274" s="25">
        <v>0</v>
      </c>
      <c r="L274" s="25">
        <v>0</v>
      </c>
      <c r="M274" s="25">
        <v>0</v>
      </c>
      <c r="N274" s="25">
        <v>0</v>
      </c>
      <c r="O274" s="25">
        <v>0</v>
      </c>
      <c r="P274" s="25"/>
      <c r="Q274" s="23" t="s">
        <v>56</v>
      </c>
      <c r="R274" s="23">
        <v>1</v>
      </c>
      <c r="S274" s="22">
        <v>20791699.149999999</v>
      </c>
      <c r="T274" s="22">
        <v>3004666</v>
      </c>
      <c r="U274" s="26" t="s">
        <v>379</v>
      </c>
    </row>
    <row r="275" spans="1:21" s="24" customFormat="1" ht="102" customHeight="1" x14ac:dyDescent="0.25">
      <c r="A275" s="23">
        <v>272</v>
      </c>
      <c r="B275" s="23">
        <v>2185133</v>
      </c>
      <c r="C275" s="23">
        <v>2014</v>
      </c>
      <c r="D275" s="30">
        <v>2023</v>
      </c>
      <c r="E275" s="23" t="s">
        <v>46</v>
      </c>
      <c r="F275" s="25" t="s">
        <v>380</v>
      </c>
      <c r="G275" s="25" t="s">
        <v>36</v>
      </c>
      <c r="H275" s="25" t="s">
        <v>25</v>
      </c>
      <c r="I275" s="25" t="s">
        <v>26</v>
      </c>
      <c r="J275" s="25">
        <v>0</v>
      </c>
      <c r="K275" s="25">
        <v>0</v>
      </c>
      <c r="L275" s="25">
        <v>0</v>
      </c>
      <c r="M275" s="25">
        <v>0</v>
      </c>
      <c r="N275" s="25">
        <v>0</v>
      </c>
      <c r="O275" s="25">
        <v>0</v>
      </c>
      <c r="P275" s="25"/>
      <c r="Q275" s="23" t="s">
        <v>56</v>
      </c>
      <c r="R275" s="23">
        <v>2</v>
      </c>
      <c r="S275" s="22">
        <v>6533053.9100000001</v>
      </c>
      <c r="T275" s="22">
        <v>3910536</v>
      </c>
      <c r="U275" s="26" t="s">
        <v>381</v>
      </c>
    </row>
    <row r="276" spans="1:21" s="24" customFormat="1" ht="178.5" customHeight="1" x14ac:dyDescent="0.25">
      <c r="A276" s="23">
        <v>273</v>
      </c>
      <c r="B276" s="23">
        <v>2195252</v>
      </c>
      <c r="C276" s="23">
        <v>2014</v>
      </c>
      <c r="D276" s="30">
        <v>2023</v>
      </c>
      <c r="E276" s="23" t="s">
        <v>46</v>
      </c>
      <c r="F276" s="25" t="s">
        <v>382</v>
      </c>
      <c r="G276" s="25" t="s">
        <v>21</v>
      </c>
      <c r="H276" s="25" t="s">
        <v>26</v>
      </c>
      <c r="I276" s="25">
        <v>0</v>
      </c>
      <c r="J276" s="25">
        <v>0</v>
      </c>
      <c r="K276" s="25">
        <v>0</v>
      </c>
      <c r="L276" s="25">
        <v>0</v>
      </c>
      <c r="M276" s="25">
        <v>0</v>
      </c>
      <c r="N276" s="25">
        <v>0</v>
      </c>
      <c r="O276" s="25">
        <v>0</v>
      </c>
      <c r="P276" s="25"/>
      <c r="Q276" s="23" t="s">
        <v>28</v>
      </c>
      <c r="R276" s="23">
        <v>5</v>
      </c>
      <c r="S276" s="22">
        <v>10888654.4</v>
      </c>
      <c r="T276" s="22">
        <v>7537933</v>
      </c>
      <c r="U276" s="26" t="s">
        <v>383</v>
      </c>
    </row>
    <row r="277" spans="1:21" s="24" customFormat="1" ht="191.25" customHeight="1" x14ac:dyDescent="0.25">
      <c r="A277" s="23">
        <v>274</v>
      </c>
      <c r="B277" s="23">
        <v>2310411</v>
      </c>
      <c r="C277" s="23" t="s">
        <v>43</v>
      </c>
      <c r="D277" s="30">
        <v>2023</v>
      </c>
      <c r="E277" s="23" t="s">
        <v>109</v>
      </c>
      <c r="F277" s="25" t="s">
        <v>23</v>
      </c>
      <c r="G277" s="25" t="s">
        <v>26</v>
      </c>
      <c r="H277" s="25">
        <v>0</v>
      </c>
      <c r="I277" s="25">
        <v>0</v>
      </c>
      <c r="J277" s="25">
        <v>0</v>
      </c>
      <c r="K277" s="25">
        <v>0</v>
      </c>
      <c r="L277" s="25">
        <v>0</v>
      </c>
      <c r="M277" s="25">
        <v>0</v>
      </c>
      <c r="N277" s="25">
        <v>0</v>
      </c>
      <c r="O277" s="25">
        <v>0</v>
      </c>
      <c r="P277" s="25"/>
      <c r="Q277" s="23" t="s">
        <v>41</v>
      </c>
      <c r="R277" s="23">
        <v>3</v>
      </c>
      <c r="S277" s="22">
        <v>5326444</v>
      </c>
      <c r="T277" s="22">
        <v>5335401</v>
      </c>
      <c r="U277" s="26" t="s">
        <v>384</v>
      </c>
    </row>
    <row r="278" spans="1:21" s="24" customFormat="1" ht="102" customHeight="1" x14ac:dyDescent="0.25">
      <c r="A278" s="23">
        <v>275</v>
      </c>
      <c r="B278" s="23">
        <v>2314215</v>
      </c>
      <c r="C278" s="23" t="s">
        <v>43</v>
      </c>
      <c r="D278" s="30">
        <v>2023</v>
      </c>
      <c r="E278" s="23" t="s">
        <v>109</v>
      </c>
      <c r="F278" s="25" t="s">
        <v>23</v>
      </c>
      <c r="G278" s="25" t="s">
        <v>26</v>
      </c>
      <c r="H278" s="25">
        <v>0</v>
      </c>
      <c r="I278" s="25">
        <v>0</v>
      </c>
      <c r="J278" s="25">
        <v>0</v>
      </c>
      <c r="K278" s="25">
        <v>0</v>
      </c>
      <c r="L278" s="25">
        <v>0</v>
      </c>
      <c r="M278" s="25">
        <v>0</v>
      </c>
      <c r="N278" s="25">
        <v>0</v>
      </c>
      <c r="O278" s="25">
        <v>0</v>
      </c>
      <c r="P278" s="25"/>
      <c r="Q278" s="23" t="s">
        <v>28</v>
      </c>
      <c r="R278" s="23">
        <v>1</v>
      </c>
      <c r="S278" s="22">
        <v>5029238.84</v>
      </c>
      <c r="T278" s="22">
        <v>5002262</v>
      </c>
      <c r="U278" s="26" t="s">
        <v>385</v>
      </c>
    </row>
    <row r="279" spans="1:21" s="24" customFormat="1" ht="89.25" customHeight="1" x14ac:dyDescent="0.25">
      <c r="A279" s="23">
        <v>276</v>
      </c>
      <c r="B279" s="23">
        <v>2201383</v>
      </c>
      <c r="C279" s="23">
        <v>2017</v>
      </c>
      <c r="D279" s="30">
        <v>2021</v>
      </c>
      <c r="E279" s="23" t="s">
        <v>44</v>
      </c>
      <c r="F279" s="25" t="s">
        <v>386</v>
      </c>
      <c r="G279" s="25" t="s">
        <v>25</v>
      </c>
      <c r="H279" s="25">
        <v>0</v>
      </c>
      <c r="I279" s="25">
        <v>0</v>
      </c>
      <c r="J279" s="25">
        <v>0</v>
      </c>
      <c r="K279" s="25">
        <v>0</v>
      </c>
      <c r="L279" s="25">
        <v>0</v>
      </c>
      <c r="M279" s="25">
        <v>0</v>
      </c>
      <c r="N279" s="25">
        <v>0</v>
      </c>
      <c r="O279" s="25">
        <v>0</v>
      </c>
      <c r="P279" s="25"/>
      <c r="Q279" s="23" t="s">
        <v>28</v>
      </c>
      <c r="R279" s="23">
        <v>2</v>
      </c>
      <c r="S279" s="22">
        <v>3705881.66</v>
      </c>
      <c r="T279" s="22">
        <v>3836967</v>
      </c>
      <c r="U279" s="26" t="s">
        <v>387</v>
      </c>
    </row>
    <row r="280" spans="1:21" s="24" customFormat="1" ht="63.75" customHeight="1" x14ac:dyDescent="0.25">
      <c r="A280" s="23">
        <v>277</v>
      </c>
      <c r="B280" s="23">
        <v>2201570</v>
      </c>
      <c r="C280" s="23">
        <v>2017</v>
      </c>
      <c r="D280" s="30">
        <v>2023</v>
      </c>
      <c r="E280" s="23" t="s">
        <v>44</v>
      </c>
      <c r="F280" s="25" t="s">
        <v>23</v>
      </c>
      <c r="G280" s="25" t="s">
        <v>24</v>
      </c>
      <c r="H280" s="25" t="s">
        <v>25</v>
      </c>
      <c r="I280" s="25" t="s">
        <v>26</v>
      </c>
      <c r="J280" s="25">
        <v>0</v>
      </c>
      <c r="K280" s="25">
        <v>0</v>
      </c>
      <c r="L280" s="25">
        <v>0</v>
      </c>
      <c r="M280" s="25">
        <v>0</v>
      </c>
      <c r="N280" s="25">
        <v>0</v>
      </c>
      <c r="O280" s="25">
        <v>0</v>
      </c>
      <c r="P280" s="25"/>
      <c r="Q280" s="23" t="s">
        <v>28</v>
      </c>
      <c r="R280" s="23">
        <v>1</v>
      </c>
      <c r="S280" s="22">
        <v>3764929.47</v>
      </c>
      <c r="T280" s="22">
        <v>4015917</v>
      </c>
      <c r="U280" s="26" t="s">
        <v>388</v>
      </c>
    </row>
    <row r="281" spans="1:21" s="24" customFormat="1" ht="102" customHeight="1" x14ac:dyDescent="0.25">
      <c r="A281" s="23">
        <v>278</v>
      </c>
      <c r="B281" s="23">
        <v>2320679</v>
      </c>
      <c r="C281" s="23" t="s">
        <v>43</v>
      </c>
      <c r="D281" s="30">
        <v>2021</v>
      </c>
      <c r="E281" s="23" t="s">
        <v>44</v>
      </c>
      <c r="F281" s="25" t="s">
        <v>25</v>
      </c>
      <c r="G281" s="25">
        <v>0</v>
      </c>
      <c r="H281" s="25">
        <v>0</v>
      </c>
      <c r="I281" s="25">
        <v>0</v>
      </c>
      <c r="J281" s="25">
        <v>0</v>
      </c>
      <c r="K281" s="25">
        <v>0</v>
      </c>
      <c r="L281" s="25">
        <v>0</v>
      </c>
      <c r="M281" s="25">
        <v>0</v>
      </c>
      <c r="N281" s="25">
        <v>0</v>
      </c>
      <c r="O281" s="25">
        <v>0</v>
      </c>
      <c r="P281" s="25"/>
      <c r="Q281" s="23" t="s">
        <v>28</v>
      </c>
      <c r="R281" s="23">
        <v>5</v>
      </c>
      <c r="S281" s="22">
        <v>11025619.310000001</v>
      </c>
      <c r="T281" s="22">
        <v>1589148</v>
      </c>
      <c r="U281" s="26" t="s">
        <v>389</v>
      </c>
    </row>
    <row r="282" spans="1:21" s="24" customFormat="1" ht="191.25" customHeight="1" x14ac:dyDescent="0.25">
      <c r="A282" s="23">
        <v>279</v>
      </c>
      <c r="B282" s="23">
        <v>2285431</v>
      </c>
      <c r="C282" s="23" t="s">
        <v>43</v>
      </c>
      <c r="D282" s="30">
        <v>2023</v>
      </c>
      <c r="E282" s="23" t="s">
        <v>36</v>
      </c>
      <c r="F282" s="25" t="s">
        <v>23</v>
      </c>
      <c r="G282" s="25" t="s">
        <v>24</v>
      </c>
      <c r="H282" s="25" t="s">
        <v>39</v>
      </c>
      <c r="I282" s="25" t="s">
        <v>26</v>
      </c>
      <c r="J282" s="25">
        <v>0</v>
      </c>
      <c r="K282" s="25">
        <v>0</v>
      </c>
      <c r="L282" s="25">
        <v>0</v>
      </c>
      <c r="M282" s="25">
        <v>0</v>
      </c>
      <c r="N282" s="25">
        <v>0</v>
      </c>
      <c r="O282" s="25">
        <v>0</v>
      </c>
      <c r="P282" s="25"/>
      <c r="Q282" s="23" t="s">
        <v>28</v>
      </c>
      <c r="R282" s="23">
        <v>1</v>
      </c>
      <c r="S282" s="22">
        <v>3099227.83</v>
      </c>
      <c r="T282" s="22">
        <v>2919459</v>
      </c>
      <c r="U282" s="26" t="s">
        <v>390</v>
      </c>
    </row>
    <row r="283" spans="1:21" s="24" customFormat="1" ht="165.75" customHeight="1" x14ac:dyDescent="0.25">
      <c r="A283" s="23">
        <v>280</v>
      </c>
      <c r="B283" s="23">
        <v>2281509</v>
      </c>
      <c r="C283" s="23" t="s">
        <v>43</v>
      </c>
      <c r="D283" s="30">
        <v>2023</v>
      </c>
      <c r="E283" s="23" t="s">
        <v>36</v>
      </c>
      <c r="F283" s="25" t="s">
        <v>23</v>
      </c>
      <c r="G283" s="25" t="s">
        <v>24</v>
      </c>
      <c r="H283" s="25" t="s">
        <v>26</v>
      </c>
      <c r="I283" s="25">
        <v>0</v>
      </c>
      <c r="J283" s="25">
        <v>0</v>
      </c>
      <c r="K283" s="25">
        <v>0</v>
      </c>
      <c r="L283" s="25">
        <v>0</v>
      </c>
      <c r="M283" s="25">
        <v>0</v>
      </c>
      <c r="N283" s="25">
        <v>0</v>
      </c>
      <c r="O283" s="25">
        <v>0</v>
      </c>
      <c r="P283" s="25"/>
      <c r="Q283" s="23" t="s">
        <v>28</v>
      </c>
      <c r="R283" s="23">
        <v>1</v>
      </c>
      <c r="S283" s="22">
        <v>4063939.2</v>
      </c>
      <c r="T283" s="22">
        <v>4083442</v>
      </c>
      <c r="U283" s="26" t="s">
        <v>391</v>
      </c>
    </row>
    <row r="284" spans="1:21" s="24" customFormat="1" ht="38.25" customHeight="1" x14ac:dyDescent="0.25">
      <c r="A284" s="23">
        <v>281</v>
      </c>
      <c r="B284" s="23">
        <v>2454500</v>
      </c>
      <c r="C284" s="23">
        <v>2023</v>
      </c>
      <c r="D284" s="30">
        <v>2026</v>
      </c>
      <c r="E284" s="23" t="s">
        <v>276</v>
      </c>
      <c r="F284" s="25" t="s">
        <v>40</v>
      </c>
      <c r="G284" s="25">
        <v>0</v>
      </c>
      <c r="H284" s="25">
        <v>0</v>
      </c>
      <c r="I284" s="25">
        <v>0</v>
      </c>
      <c r="J284" s="25">
        <v>0</v>
      </c>
      <c r="K284" s="25">
        <v>0</v>
      </c>
      <c r="L284" s="25">
        <v>0</v>
      </c>
      <c r="M284" s="25">
        <v>0</v>
      </c>
      <c r="N284" s="25">
        <v>0</v>
      </c>
      <c r="O284" s="25">
        <v>0</v>
      </c>
      <c r="P284" s="25"/>
      <c r="Q284" s="23" t="s">
        <v>269</v>
      </c>
      <c r="R284" s="23">
        <v>1</v>
      </c>
      <c r="S284" s="22">
        <v>4188030.47</v>
      </c>
      <c r="T284" s="22">
        <v>5155897</v>
      </c>
      <c r="U284" s="26" t="s">
        <v>392</v>
      </c>
    </row>
    <row r="285" spans="1:21" s="24" customFormat="1" x14ac:dyDescent="0.25">
      <c r="A285" s="23">
        <v>282</v>
      </c>
      <c r="B285" s="23">
        <v>2498315</v>
      </c>
      <c r="C285" s="23">
        <v>2023</v>
      </c>
      <c r="D285" s="30">
        <v>2023</v>
      </c>
      <c r="E285" s="23" t="s">
        <v>276</v>
      </c>
      <c r="F285" s="25">
        <v>0</v>
      </c>
      <c r="G285" s="25">
        <v>0</v>
      </c>
      <c r="H285" s="25">
        <v>0</v>
      </c>
      <c r="I285" s="25">
        <v>0</v>
      </c>
      <c r="J285" s="25">
        <v>0</v>
      </c>
      <c r="K285" s="25">
        <v>0</v>
      </c>
      <c r="L285" s="25">
        <v>0</v>
      </c>
      <c r="M285" s="25">
        <v>0</v>
      </c>
      <c r="N285" s="25">
        <v>0</v>
      </c>
      <c r="O285" s="25">
        <v>0</v>
      </c>
      <c r="P285" s="25"/>
      <c r="Q285" s="23" t="s">
        <v>269</v>
      </c>
      <c r="R285" s="23">
        <v>1</v>
      </c>
      <c r="S285" s="22">
        <v>12398572.550000001</v>
      </c>
      <c r="T285" s="22">
        <v>12446646</v>
      </c>
      <c r="U285" s="26" t="s">
        <v>393</v>
      </c>
    </row>
    <row r="286" spans="1:21" s="24" customFormat="1" ht="331.5" customHeight="1" x14ac:dyDescent="0.25">
      <c r="A286" s="23">
        <v>283</v>
      </c>
      <c r="B286" s="23">
        <v>2340805</v>
      </c>
      <c r="C286" s="23">
        <v>2025</v>
      </c>
      <c r="D286" s="30">
        <v>2025</v>
      </c>
      <c r="E286" s="23" t="s">
        <v>311</v>
      </c>
      <c r="F286" s="25">
        <v>0</v>
      </c>
      <c r="G286" s="25">
        <v>0</v>
      </c>
      <c r="H286" s="25">
        <v>0</v>
      </c>
      <c r="I286" s="25">
        <v>0</v>
      </c>
      <c r="J286" s="25">
        <v>0</v>
      </c>
      <c r="K286" s="25">
        <v>0</v>
      </c>
      <c r="L286" s="25">
        <v>0</v>
      </c>
      <c r="M286" s="25">
        <v>0</v>
      </c>
      <c r="N286" s="25">
        <v>0</v>
      </c>
      <c r="O286" s="25">
        <v>0</v>
      </c>
      <c r="P286" s="25"/>
      <c r="Q286" s="23" t="s">
        <v>272</v>
      </c>
      <c r="R286" s="23">
        <v>1</v>
      </c>
      <c r="S286" s="22">
        <v>11833084.4</v>
      </c>
      <c r="T286" s="22">
        <v>1554391</v>
      </c>
      <c r="U286" s="26" t="s">
        <v>394</v>
      </c>
    </row>
    <row r="287" spans="1:21" s="24" customFormat="1" ht="242.25" customHeight="1" x14ac:dyDescent="0.25">
      <c r="A287" s="23">
        <v>284</v>
      </c>
      <c r="B287" s="23">
        <v>2454733</v>
      </c>
      <c r="C287" s="23">
        <v>2025</v>
      </c>
      <c r="D287" s="30">
        <v>2026</v>
      </c>
      <c r="E287" s="23" t="s">
        <v>311</v>
      </c>
      <c r="F287" s="25" t="s">
        <v>40</v>
      </c>
      <c r="G287" s="25">
        <v>0</v>
      </c>
      <c r="H287" s="25">
        <v>0</v>
      </c>
      <c r="I287" s="25">
        <v>0</v>
      </c>
      <c r="J287" s="25">
        <v>0</v>
      </c>
      <c r="K287" s="25">
        <v>0</v>
      </c>
      <c r="L287" s="25">
        <v>0</v>
      </c>
      <c r="M287" s="25">
        <v>0</v>
      </c>
      <c r="N287" s="25">
        <v>0</v>
      </c>
      <c r="O287" s="25">
        <v>0</v>
      </c>
      <c r="P287" s="25"/>
      <c r="Q287" s="23" t="s">
        <v>76</v>
      </c>
      <c r="R287" s="23">
        <v>1</v>
      </c>
      <c r="S287" s="22">
        <v>23358707.300000001</v>
      </c>
      <c r="T287" s="22">
        <v>6382766</v>
      </c>
      <c r="U287" s="26" t="s">
        <v>395</v>
      </c>
    </row>
    <row r="288" spans="1:21" s="24" customFormat="1" ht="38.25" customHeight="1" x14ac:dyDescent="0.25">
      <c r="A288" s="23">
        <v>285</v>
      </c>
      <c r="B288" s="23">
        <v>2462827</v>
      </c>
      <c r="C288" s="23">
        <v>2025</v>
      </c>
      <c r="D288" s="30">
        <v>2026</v>
      </c>
      <c r="E288" s="23" t="s">
        <v>311</v>
      </c>
      <c r="F288" s="25" t="s">
        <v>40</v>
      </c>
      <c r="G288" s="25">
        <v>0</v>
      </c>
      <c r="H288" s="25">
        <v>0</v>
      </c>
      <c r="I288" s="25">
        <v>0</v>
      </c>
      <c r="J288" s="25">
        <v>0</v>
      </c>
      <c r="K288" s="25">
        <v>0</v>
      </c>
      <c r="L288" s="25">
        <v>0</v>
      </c>
      <c r="M288" s="25">
        <v>0</v>
      </c>
      <c r="N288" s="25">
        <v>0</v>
      </c>
      <c r="O288" s="25">
        <v>0</v>
      </c>
      <c r="P288" s="25"/>
      <c r="Q288" s="23" t="s">
        <v>76</v>
      </c>
      <c r="R288" s="23">
        <v>1</v>
      </c>
      <c r="S288" s="22">
        <v>15512915.130000001</v>
      </c>
      <c r="T288" s="22">
        <v>4242712</v>
      </c>
      <c r="U288" s="26">
        <v>0</v>
      </c>
    </row>
    <row r="289" spans="1:21" s="24" customFormat="1" ht="409.5" customHeight="1" x14ac:dyDescent="0.25">
      <c r="A289" s="23">
        <v>286</v>
      </c>
      <c r="B289" s="23">
        <v>2300534</v>
      </c>
      <c r="C289" s="23">
        <v>2025</v>
      </c>
      <c r="D289" s="30">
        <v>2026</v>
      </c>
      <c r="E289" s="23" t="s">
        <v>311</v>
      </c>
      <c r="F289" s="25" t="s">
        <v>40</v>
      </c>
      <c r="G289" s="25">
        <v>0</v>
      </c>
      <c r="H289" s="25">
        <v>0</v>
      </c>
      <c r="I289" s="25">
        <v>0</v>
      </c>
      <c r="J289" s="25">
        <v>0</v>
      </c>
      <c r="K289" s="25">
        <v>0</v>
      </c>
      <c r="L289" s="25">
        <v>0</v>
      </c>
      <c r="M289" s="25">
        <v>0</v>
      </c>
      <c r="N289" s="25">
        <v>0</v>
      </c>
      <c r="O289" s="25">
        <v>0</v>
      </c>
      <c r="P289" s="25"/>
      <c r="Q289" s="23" t="s">
        <v>76</v>
      </c>
      <c r="R289" s="23">
        <v>3</v>
      </c>
      <c r="S289" s="22">
        <v>11504865.98</v>
      </c>
      <c r="T289" s="22">
        <v>3143704</v>
      </c>
      <c r="U289" s="26" t="s">
        <v>396</v>
      </c>
    </row>
    <row r="290" spans="1:21" s="24" customFormat="1" ht="280.5" customHeight="1" x14ac:dyDescent="0.25">
      <c r="A290" s="23">
        <v>287</v>
      </c>
      <c r="B290" s="23">
        <v>2201849</v>
      </c>
      <c r="C290" s="23">
        <v>2025</v>
      </c>
      <c r="D290" s="30">
        <v>2026</v>
      </c>
      <c r="E290" s="23" t="s">
        <v>311</v>
      </c>
      <c r="F290" s="25" t="s">
        <v>40</v>
      </c>
      <c r="G290" s="25">
        <v>0</v>
      </c>
      <c r="H290" s="25">
        <v>0</v>
      </c>
      <c r="I290" s="25">
        <v>0</v>
      </c>
      <c r="J290" s="25">
        <v>0</v>
      </c>
      <c r="K290" s="25">
        <v>0</v>
      </c>
      <c r="L290" s="25">
        <v>0</v>
      </c>
      <c r="M290" s="25">
        <v>0</v>
      </c>
      <c r="N290" s="25">
        <v>0</v>
      </c>
      <c r="O290" s="25">
        <v>0</v>
      </c>
      <c r="P290" s="25"/>
      <c r="Q290" s="23" t="s">
        <v>272</v>
      </c>
      <c r="R290" s="23">
        <v>1</v>
      </c>
      <c r="S290" s="22">
        <v>42368199.090000004</v>
      </c>
      <c r="T290" s="22">
        <v>11587750</v>
      </c>
      <c r="U290" s="26" t="s">
        <v>397</v>
      </c>
    </row>
    <row r="291" spans="1:21" s="24" customFormat="1" ht="153" customHeight="1" x14ac:dyDescent="0.25">
      <c r="A291" s="23">
        <v>288</v>
      </c>
      <c r="B291" s="23">
        <v>2211638</v>
      </c>
      <c r="C291" s="23">
        <v>2025</v>
      </c>
      <c r="D291" s="30">
        <v>2026</v>
      </c>
      <c r="E291" s="23" t="s">
        <v>311</v>
      </c>
      <c r="F291" s="25" t="s">
        <v>40</v>
      </c>
      <c r="G291" s="25">
        <v>0</v>
      </c>
      <c r="H291" s="25">
        <v>0</v>
      </c>
      <c r="I291" s="25">
        <v>0</v>
      </c>
      <c r="J291" s="25">
        <v>0</v>
      </c>
      <c r="K291" s="25">
        <v>0</v>
      </c>
      <c r="L291" s="25">
        <v>0</v>
      </c>
      <c r="M291" s="25">
        <v>0</v>
      </c>
      <c r="N291" s="25">
        <v>0</v>
      </c>
      <c r="O291" s="25">
        <v>0</v>
      </c>
      <c r="P291" s="25"/>
      <c r="Q291" s="23" t="s">
        <v>312</v>
      </c>
      <c r="R291" s="23">
        <v>1</v>
      </c>
      <c r="S291" s="22">
        <v>12760677.779999999</v>
      </c>
      <c r="T291" s="22">
        <v>3499294</v>
      </c>
      <c r="U291" s="26" t="s">
        <v>398</v>
      </c>
    </row>
    <row r="292" spans="1:21" s="24" customFormat="1" ht="38.25" customHeight="1" x14ac:dyDescent="0.25">
      <c r="A292" s="23">
        <v>289</v>
      </c>
      <c r="B292" s="23">
        <v>2480027</v>
      </c>
      <c r="C292" s="23">
        <v>2025</v>
      </c>
      <c r="D292" s="30">
        <v>2026</v>
      </c>
      <c r="E292" s="23" t="s">
        <v>311</v>
      </c>
      <c r="F292" s="25" t="s">
        <v>40</v>
      </c>
      <c r="G292" s="25">
        <v>0</v>
      </c>
      <c r="H292" s="25">
        <v>0</v>
      </c>
      <c r="I292" s="25">
        <v>0</v>
      </c>
      <c r="J292" s="25">
        <v>0</v>
      </c>
      <c r="K292" s="25">
        <v>0</v>
      </c>
      <c r="L292" s="25">
        <v>0</v>
      </c>
      <c r="M292" s="25">
        <v>0</v>
      </c>
      <c r="N292" s="25">
        <v>0</v>
      </c>
      <c r="O292" s="25">
        <v>0</v>
      </c>
      <c r="P292" s="25"/>
      <c r="Q292" s="23" t="s">
        <v>76</v>
      </c>
      <c r="R292" s="23">
        <v>4</v>
      </c>
      <c r="S292" s="22">
        <v>24826024.899999999</v>
      </c>
      <c r="T292" s="22">
        <v>6767589</v>
      </c>
      <c r="U292" s="26">
        <v>0</v>
      </c>
    </row>
    <row r="293" spans="1:21" s="24" customFormat="1" ht="204" customHeight="1" x14ac:dyDescent="0.25">
      <c r="A293" s="23">
        <v>290</v>
      </c>
      <c r="B293" s="23">
        <v>2500936</v>
      </c>
      <c r="C293" s="23">
        <v>2025</v>
      </c>
      <c r="D293" s="30">
        <v>2025</v>
      </c>
      <c r="E293" s="23" t="s">
        <v>311</v>
      </c>
      <c r="F293" s="25">
        <v>0</v>
      </c>
      <c r="G293" s="25">
        <v>0</v>
      </c>
      <c r="H293" s="25">
        <v>0</v>
      </c>
      <c r="I293" s="25">
        <v>0</v>
      </c>
      <c r="J293" s="25">
        <v>0</v>
      </c>
      <c r="K293" s="25">
        <v>0</v>
      </c>
      <c r="L293" s="25">
        <v>0</v>
      </c>
      <c r="M293" s="25">
        <v>0</v>
      </c>
      <c r="N293" s="25">
        <v>0</v>
      </c>
      <c r="O293" s="25">
        <v>0</v>
      </c>
      <c r="P293" s="25"/>
      <c r="Q293" s="23" t="s">
        <v>312</v>
      </c>
      <c r="R293" s="23">
        <v>1</v>
      </c>
      <c r="S293" s="22">
        <v>3262878.09</v>
      </c>
      <c r="T293" s="22">
        <v>478047</v>
      </c>
      <c r="U293" s="26" t="s">
        <v>399</v>
      </c>
    </row>
    <row r="294" spans="1:21" s="24" customFormat="1" ht="395.25" customHeight="1" x14ac:dyDescent="0.25">
      <c r="A294" s="23">
        <v>291</v>
      </c>
      <c r="B294" s="23">
        <v>2434432</v>
      </c>
      <c r="C294" s="23">
        <v>2025</v>
      </c>
      <c r="D294" s="30">
        <v>2026</v>
      </c>
      <c r="E294" s="23" t="s">
        <v>311</v>
      </c>
      <c r="F294" s="25" t="s">
        <v>40</v>
      </c>
      <c r="G294" s="25">
        <v>0</v>
      </c>
      <c r="H294" s="25">
        <v>0</v>
      </c>
      <c r="I294" s="25">
        <v>0</v>
      </c>
      <c r="J294" s="25">
        <v>0</v>
      </c>
      <c r="K294" s="25">
        <v>0</v>
      </c>
      <c r="L294" s="25">
        <v>0</v>
      </c>
      <c r="M294" s="25">
        <v>0</v>
      </c>
      <c r="N294" s="25">
        <v>0</v>
      </c>
      <c r="O294" s="25">
        <v>0</v>
      </c>
      <c r="P294" s="25"/>
      <c r="Q294" s="23" t="s">
        <v>76</v>
      </c>
      <c r="R294" s="23">
        <v>1</v>
      </c>
      <c r="S294" s="22">
        <v>6512734.5199999996</v>
      </c>
      <c r="T294" s="22">
        <v>2064883</v>
      </c>
      <c r="U294" s="26" t="s">
        <v>400</v>
      </c>
    </row>
    <row r="295" spans="1:21" s="24" customFormat="1" ht="409.5" customHeight="1" x14ac:dyDescent="0.25">
      <c r="A295" s="23">
        <v>292</v>
      </c>
      <c r="B295" s="23">
        <v>2452285</v>
      </c>
      <c r="C295" s="23">
        <v>2025</v>
      </c>
      <c r="D295" s="30">
        <v>2026</v>
      </c>
      <c r="E295" s="23" t="s">
        <v>311</v>
      </c>
      <c r="F295" s="25" t="s">
        <v>40</v>
      </c>
      <c r="G295" s="25">
        <v>0</v>
      </c>
      <c r="H295" s="25">
        <v>0</v>
      </c>
      <c r="I295" s="25">
        <v>0</v>
      </c>
      <c r="J295" s="25">
        <v>0</v>
      </c>
      <c r="K295" s="25">
        <v>0</v>
      </c>
      <c r="L295" s="25">
        <v>0</v>
      </c>
      <c r="M295" s="25">
        <v>0</v>
      </c>
      <c r="N295" s="25">
        <v>0</v>
      </c>
      <c r="O295" s="25">
        <v>0</v>
      </c>
      <c r="P295" s="25"/>
      <c r="Q295" s="23" t="s">
        <v>76</v>
      </c>
      <c r="R295" s="23">
        <v>1</v>
      </c>
      <c r="S295" s="22">
        <v>8871383.25</v>
      </c>
      <c r="T295" s="22">
        <v>2803576</v>
      </c>
      <c r="U295" s="26" t="s">
        <v>401</v>
      </c>
    </row>
    <row r="296" spans="1:21" s="24" customFormat="1" ht="255" customHeight="1" x14ac:dyDescent="0.25">
      <c r="A296" s="23">
        <v>293</v>
      </c>
      <c r="B296" s="23">
        <v>2405720</v>
      </c>
      <c r="C296" s="23">
        <v>2025</v>
      </c>
      <c r="D296" s="30">
        <v>2026</v>
      </c>
      <c r="E296" s="23" t="s">
        <v>311</v>
      </c>
      <c r="F296" s="25" t="s">
        <v>40</v>
      </c>
      <c r="G296" s="25">
        <v>0</v>
      </c>
      <c r="H296" s="25">
        <v>0</v>
      </c>
      <c r="I296" s="25">
        <v>0</v>
      </c>
      <c r="J296" s="25">
        <v>0</v>
      </c>
      <c r="K296" s="25">
        <v>0</v>
      </c>
      <c r="L296" s="25">
        <v>0</v>
      </c>
      <c r="M296" s="25">
        <v>0</v>
      </c>
      <c r="N296" s="25">
        <v>0</v>
      </c>
      <c r="O296" s="25">
        <v>0</v>
      </c>
      <c r="P296" s="25"/>
      <c r="Q296" s="23" t="s">
        <v>402</v>
      </c>
      <c r="R296" s="23">
        <v>1</v>
      </c>
      <c r="S296" s="22">
        <v>32218073.300000001</v>
      </c>
      <c r="T296" s="22">
        <v>8806242</v>
      </c>
      <c r="U296" s="26" t="s">
        <v>403</v>
      </c>
    </row>
    <row r="297" spans="1:21" s="24" customFormat="1" ht="409.5" customHeight="1" x14ac:dyDescent="0.25">
      <c r="A297" s="23">
        <v>294</v>
      </c>
      <c r="B297" s="23">
        <v>2474364</v>
      </c>
      <c r="C297" s="23">
        <v>2025</v>
      </c>
      <c r="D297" s="30">
        <v>2026</v>
      </c>
      <c r="E297" s="23" t="s">
        <v>311</v>
      </c>
      <c r="F297" s="25" t="s">
        <v>40</v>
      </c>
      <c r="G297" s="25">
        <v>0</v>
      </c>
      <c r="H297" s="25">
        <v>0</v>
      </c>
      <c r="I297" s="25">
        <v>0</v>
      </c>
      <c r="J297" s="25">
        <v>0</v>
      </c>
      <c r="K297" s="25">
        <v>0</v>
      </c>
      <c r="L297" s="25">
        <v>0</v>
      </c>
      <c r="M297" s="25">
        <v>0</v>
      </c>
      <c r="N297" s="25">
        <v>0</v>
      </c>
      <c r="O297" s="25">
        <v>0</v>
      </c>
      <c r="P297" s="25"/>
      <c r="Q297" s="23" t="s">
        <v>76</v>
      </c>
      <c r="R297" s="23">
        <v>1</v>
      </c>
      <c r="S297" s="22">
        <v>3436283.7</v>
      </c>
      <c r="T297" s="22">
        <v>1213567</v>
      </c>
      <c r="U297" s="26" t="s">
        <v>404</v>
      </c>
    </row>
    <row r="298" spans="1:21" s="24" customFormat="1" ht="409.5" customHeight="1" x14ac:dyDescent="0.25">
      <c r="A298" s="23">
        <v>295</v>
      </c>
      <c r="B298" s="23">
        <v>2184626</v>
      </c>
      <c r="C298" s="23">
        <v>2025</v>
      </c>
      <c r="D298" s="30">
        <v>2026</v>
      </c>
      <c r="E298" s="23" t="s">
        <v>311</v>
      </c>
      <c r="F298" s="25" t="s">
        <v>40</v>
      </c>
      <c r="G298" s="25">
        <v>0</v>
      </c>
      <c r="H298" s="25">
        <v>0</v>
      </c>
      <c r="I298" s="25">
        <v>0</v>
      </c>
      <c r="J298" s="25">
        <v>0</v>
      </c>
      <c r="K298" s="25">
        <v>0</v>
      </c>
      <c r="L298" s="25">
        <v>0</v>
      </c>
      <c r="M298" s="25">
        <v>0</v>
      </c>
      <c r="N298" s="25">
        <v>0</v>
      </c>
      <c r="O298" s="25">
        <v>0</v>
      </c>
      <c r="P298" s="25"/>
      <c r="Q298" s="23" t="s">
        <v>81</v>
      </c>
      <c r="R298" s="23">
        <v>1</v>
      </c>
      <c r="S298" s="22">
        <v>15841404.300000001</v>
      </c>
      <c r="T298" s="22">
        <v>4299281</v>
      </c>
      <c r="U298" s="26" t="s">
        <v>405</v>
      </c>
    </row>
    <row r="299" spans="1:21" s="24" customFormat="1" ht="267.75" customHeight="1" x14ac:dyDescent="0.25">
      <c r="A299" s="23">
        <v>296</v>
      </c>
      <c r="B299" s="23">
        <v>2225935</v>
      </c>
      <c r="C299" s="23">
        <v>2025</v>
      </c>
      <c r="D299" s="30">
        <v>2026</v>
      </c>
      <c r="E299" s="23" t="s">
        <v>311</v>
      </c>
      <c r="F299" s="25" t="s">
        <v>40</v>
      </c>
      <c r="G299" s="25">
        <v>0</v>
      </c>
      <c r="H299" s="25">
        <v>0</v>
      </c>
      <c r="I299" s="25">
        <v>0</v>
      </c>
      <c r="J299" s="25">
        <v>0</v>
      </c>
      <c r="K299" s="25">
        <v>0</v>
      </c>
      <c r="L299" s="25">
        <v>0</v>
      </c>
      <c r="M299" s="25">
        <v>0</v>
      </c>
      <c r="N299" s="25">
        <v>0</v>
      </c>
      <c r="O299" s="25">
        <v>0</v>
      </c>
      <c r="P299" s="25"/>
      <c r="Q299" s="23" t="s">
        <v>81</v>
      </c>
      <c r="R299" s="23">
        <v>1</v>
      </c>
      <c r="S299" s="22">
        <v>25701804.030000001</v>
      </c>
      <c r="T299" s="22">
        <v>6988592</v>
      </c>
      <c r="U299" s="26" t="s">
        <v>406</v>
      </c>
    </row>
    <row r="300" spans="1:21" s="24" customFormat="1" ht="191.25" customHeight="1" x14ac:dyDescent="0.25">
      <c r="A300" s="23">
        <v>297</v>
      </c>
      <c r="B300" s="23">
        <v>2291249</v>
      </c>
      <c r="C300" s="23">
        <v>2025</v>
      </c>
      <c r="D300" s="30">
        <v>2026</v>
      </c>
      <c r="E300" s="23" t="s">
        <v>311</v>
      </c>
      <c r="F300" s="25" t="s">
        <v>40</v>
      </c>
      <c r="G300" s="25">
        <v>0</v>
      </c>
      <c r="H300" s="25">
        <v>0</v>
      </c>
      <c r="I300" s="25">
        <v>0</v>
      </c>
      <c r="J300" s="25">
        <v>0</v>
      </c>
      <c r="K300" s="25">
        <v>0</v>
      </c>
      <c r="L300" s="25">
        <v>0</v>
      </c>
      <c r="M300" s="25">
        <v>0</v>
      </c>
      <c r="N300" s="25">
        <v>0</v>
      </c>
      <c r="O300" s="25">
        <v>0</v>
      </c>
      <c r="P300" s="25"/>
      <c r="Q300" s="23" t="s">
        <v>312</v>
      </c>
      <c r="R300" s="23">
        <v>1</v>
      </c>
      <c r="S300" s="22">
        <v>8030168.4199999999</v>
      </c>
      <c r="T300" s="22">
        <v>2498183</v>
      </c>
      <c r="U300" s="26" t="s">
        <v>407</v>
      </c>
    </row>
    <row r="301" spans="1:21" s="24" customFormat="1" ht="178.5" customHeight="1" x14ac:dyDescent="0.25">
      <c r="A301" s="23">
        <v>298</v>
      </c>
      <c r="B301" s="23">
        <v>2308038</v>
      </c>
      <c r="C301" s="23">
        <v>2025</v>
      </c>
      <c r="D301" s="30">
        <v>2026</v>
      </c>
      <c r="E301" s="23" t="s">
        <v>311</v>
      </c>
      <c r="F301" s="25" t="s">
        <v>40</v>
      </c>
      <c r="G301" s="25">
        <v>0</v>
      </c>
      <c r="H301" s="25">
        <v>0</v>
      </c>
      <c r="I301" s="25">
        <v>0</v>
      </c>
      <c r="J301" s="25">
        <v>0</v>
      </c>
      <c r="K301" s="25">
        <v>0</v>
      </c>
      <c r="L301" s="25">
        <v>0</v>
      </c>
      <c r="M301" s="25">
        <v>0</v>
      </c>
      <c r="N301" s="25">
        <v>0</v>
      </c>
      <c r="O301" s="25">
        <v>0</v>
      </c>
      <c r="P301" s="25"/>
      <c r="Q301" s="23" t="s">
        <v>272</v>
      </c>
      <c r="R301" s="23">
        <v>1</v>
      </c>
      <c r="S301" s="22">
        <v>32490597.800000001</v>
      </c>
      <c r="T301" s="22">
        <v>8775882</v>
      </c>
      <c r="U301" s="26" t="s">
        <v>408</v>
      </c>
    </row>
    <row r="302" spans="1:21" s="24" customFormat="1" ht="395.25" customHeight="1" x14ac:dyDescent="0.25">
      <c r="A302" s="23">
        <v>299</v>
      </c>
      <c r="B302" s="23">
        <v>2444383</v>
      </c>
      <c r="C302" s="23">
        <v>2025</v>
      </c>
      <c r="D302" s="30">
        <v>2026</v>
      </c>
      <c r="E302" s="23" t="s">
        <v>311</v>
      </c>
      <c r="F302" s="25" t="s">
        <v>40</v>
      </c>
      <c r="G302" s="25">
        <v>0</v>
      </c>
      <c r="H302" s="25">
        <v>0</v>
      </c>
      <c r="I302" s="25">
        <v>0</v>
      </c>
      <c r="J302" s="25">
        <v>0</v>
      </c>
      <c r="K302" s="25">
        <v>0</v>
      </c>
      <c r="L302" s="25">
        <v>0</v>
      </c>
      <c r="M302" s="25">
        <v>0</v>
      </c>
      <c r="N302" s="25">
        <v>0</v>
      </c>
      <c r="O302" s="25">
        <v>0</v>
      </c>
      <c r="P302" s="25"/>
      <c r="Q302" s="23" t="s">
        <v>76</v>
      </c>
      <c r="R302" s="23">
        <v>1</v>
      </c>
      <c r="S302" s="22">
        <v>8194582.4500000002</v>
      </c>
      <c r="T302" s="22">
        <v>2255124</v>
      </c>
      <c r="U302" s="26" t="s">
        <v>409</v>
      </c>
    </row>
    <row r="303" spans="1:21" s="24" customFormat="1" ht="165.75" customHeight="1" x14ac:dyDescent="0.25">
      <c r="A303" s="23">
        <v>300</v>
      </c>
      <c r="B303" s="23">
        <v>2254107</v>
      </c>
      <c r="C303" s="23">
        <v>2025</v>
      </c>
      <c r="D303" s="30">
        <v>2026</v>
      </c>
      <c r="E303" s="23" t="s">
        <v>311</v>
      </c>
      <c r="F303" s="25" t="s">
        <v>40</v>
      </c>
      <c r="G303" s="25">
        <v>0</v>
      </c>
      <c r="H303" s="25">
        <v>0</v>
      </c>
      <c r="I303" s="25">
        <v>0</v>
      </c>
      <c r="J303" s="25">
        <v>0</v>
      </c>
      <c r="K303" s="25">
        <v>0</v>
      </c>
      <c r="L303" s="25">
        <v>0</v>
      </c>
      <c r="M303" s="25">
        <v>0</v>
      </c>
      <c r="N303" s="25">
        <v>0</v>
      </c>
      <c r="O303" s="25">
        <v>0</v>
      </c>
      <c r="P303" s="25"/>
      <c r="Q303" s="23" t="s">
        <v>402</v>
      </c>
      <c r="R303" s="23">
        <v>1</v>
      </c>
      <c r="S303" s="22">
        <v>48563808.289999999</v>
      </c>
      <c r="T303" s="22">
        <v>8166161</v>
      </c>
      <c r="U303" s="26" t="s">
        <v>410</v>
      </c>
    </row>
    <row r="304" spans="1:21" s="24" customFormat="1" ht="153" customHeight="1" x14ac:dyDescent="0.25">
      <c r="A304" s="23">
        <v>301</v>
      </c>
      <c r="B304" s="23">
        <v>2589203</v>
      </c>
      <c r="C304" s="23">
        <v>2025</v>
      </c>
      <c r="D304" s="30">
        <v>2026</v>
      </c>
      <c r="E304" s="23" t="s">
        <v>311</v>
      </c>
      <c r="F304" s="25" t="s">
        <v>40</v>
      </c>
      <c r="G304" s="25">
        <v>0</v>
      </c>
      <c r="H304" s="25">
        <v>0</v>
      </c>
      <c r="I304" s="25">
        <v>0</v>
      </c>
      <c r="J304" s="25">
        <v>0</v>
      </c>
      <c r="K304" s="25">
        <v>0</v>
      </c>
      <c r="L304" s="25">
        <v>0</v>
      </c>
      <c r="M304" s="25">
        <v>0</v>
      </c>
      <c r="N304" s="25">
        <v>0</v>
      </c>
      <c r="O304" s="25">
        <v>0</v>
      </c>
      <c r="P304" s="25"/>
      <c r="Q304" s="23" t="s">
        <v>76</v>
      </c>
      <c r="R304" s="23">
        <v>1</v>
      </c>
      <c r="S304" s="22">
        <v>50393688.060000002</v>
      </c>
      <c r="T304" s="22">
        <v>11067470</v>
      </c>
      <c r="U304" s="26" t="s">
        <v>411</v>
      </c>
    </row>
    <row r="305" spans="1:21" s="24" customFormat="1" ht="165.75" customHeight="1" x14ac:dyDescent="0.25">
      <c r="A305" s="23">
        <v>302</v>
      </c>
      <c r="B305" s="23">
        <v>2451782</v>
      </c>
      <c r="C305" s="23">
        <v>2025</v>
      </c>
      <c r="D305" s="30">
        <v>2026</v>
      </c>
      <c r="E305" s="23" t="s">
        <v>311</v>
      </c>
      <c r="F305" s="25" t="s">
        <v>40</v>
      </c>
      <c r="G305" s="25">
        <v>0</v>
      </c>
      <c r="H305" s="25">
        <v>0</v>
      </c>
      <c r="I305" s="25">
        <v>0</v>
      </c>
      <c r="J305" s="25">
        <v>0</v>
      </c>
      <c r="K305" s="25">
        <v>0</v>
      </c>
      <c r="L305" s="25">
        <v>0</v>
      </c>
      <c r="M305" s="25">
        <v>0</v>
      </c>
      <c r="N305" s="25">
        <v>0</v>
      </c>
      <c r="O305" s="25">
        <v>0</v>
      </c>
      <c r="P305" s="25"/>
      <c r="Q305" s="23" t="s">
        <v>402</v>
      </c>
      <c r="R305" s="23">
        <v>1</v>
      </c>
      <c r="S305" s="22">
        <v>16388274.460000001</v>
      </c>
      <c r="T305" s="22">
        <v>3370583</v>
      </c>
      <c r="U305" s="26" t="s">
        <v>412</v>
      </c>
    </row>
    <row r="306" spans="1:21" s="24" customFormat="1" x14ac:dyDescent="0.25">
      <c r="A306" s="23">
        <v>303</v>
      </c>
      <c r="B306" s="23">
        <v>2275209</v>
      </c>
      <c r="C306" s="23">
        <v>2026</v>
      </c>
      <c r="D306" s="30">
        <v>2026</v>
      </c>
      <c r="E306" s="23" t="s">
        <v>40</v>
      </c>
      <c r="F306" s="25">
        <v>0</v>
      </c>
      <c r="G306" s="25">
        <v>0</v>
      </c>
      <c r="H306" s="25">
        <v>0</v>
      </c>
      <c r="I306" s="25">
        <v>0</v>
      </c>
      <c r="J306" s="25">
        <v>0</v>
      </c>
      <c r="K306" s="25">
        <v>0</v>
      </c>
      <c r="L306" s="25">
        <v>0</v>
      </c>
      <c r="M306" s="25">
        <v>0</v>
      </c>
      <c r="N306" s="25">
        <v>0</v>
      </c>
      <c r="O306" s="25">
        <v>0</v>
      </c>
      <c r="P306" s="25"/>
      <c r="Q306" s="23" t="s">
        <v>269</v>
      </c>
      <c r="R306" s="23">
        <v>1</v>
      </c>
      <c r="S306" s="22">
        <v>9227189.5999999996</v>
      </c>
      <c r="T306" s="22">
        <v>1000000</v>
      </c>
      <c r="U306" s="26" t="s">
        <v>269</v>
      </c>
    </row>
    <row r="307" spans="1:21" s="24" customFormat="1" ht="114.75" customHeight="1" x14ac:dyDescent="0.25">
      <c r="A307" s="23">
        <v>304</v>
      </c>
      <c r="B307" s="23">
        <v>2194982</v>
      </c>
      <c r="C307" s="23">
        <v>2026</v>
      </c>
      <c r="D307" s="30">
        <v>2026</v>
      </c>
      <c r="E307" s="23" t="s">
        <v>40</v>
      </c>
      <c r="F307" s="25">
        <v>0</v>
      </c>
      <c r="G307" s="25">
        <v>0</v>
      </c>
      <c r="H307" s="25">
        <v>0</v>
      </c>
      <c r="I307" s="25">
        <v>0</v>
      </c>
      <c r="J307" s="25">
        <v>0</v>
      </c>
      <c r="K307" s="25">
        <v>0</v>
      </c>
      <c r="L307" s="25">
        <v>0</v>
      </c>
      <c r="M307" s="25">
        <v>0</v>
      </c>
      <c r="N307" s="25">
        <v>0</v>
      </c>
      <c r="O307" s="25">
        <v>0</v>
      </c>
      <c r="P307" s="25"/>
      <c r="Q307" s="23" t="s">
        <v>269</v>
      </c>
      <c r="R307" s="23">
        <v>1</v>
      </c>
      <c r="S307" s="22">
        <v>51610208.939999998</v>
      </c>
      <c r="T307" s="22">
        <v>5684035</v>
      </c>
      <c r="U307" s="26" t="s">
        <v>413</v>
      </c>
    </row>
    <row r="308" spans="1:21" s="24" customFormat="1" x14ac:dyDescent="0.25">
      <c r="A308" s="23">
        <v>305</v>
      </c>
      <c r="B308" s="23">
        <v>2464268</v>
      </c>
      <c r="C308" s="23">
        <v>2026</v>
      </c>
      <c r="D308" s="30">
        <v>2026</v>
      </c>
      <c r="E308" s="23" t="s">
        <v>40</v>
      </c>
      <c r="F308" s="25">
        <v>0</v>
      </c>
      <c r="G308" s="25">
        <v>0</v>
      </c>
      <c r="H308" s="25">
        <v>0</v>
      </c>
      <c r="I308" s="25">
        <v>0</v>
      </c>
      <c r="J308" s="25">
        <v>0</v>
      </c>
      <c r="K308" s="25">
        <v>0</v>
      </c>
      <c r="L308" s="25">
        <v>0</v>
      </c>
      <c r="M308" s="25">
        <v>0</v>
      </c>
      <c r="N308" s="25">
        <v>0</v>
      </c>
      <c r="O308" s="25">
        <v>0</v>
      </c>
      <c r="P308" s="25"/>
      <c r="Q308" s="23" t="s">
        <v>269</v>
      </c>
      <c r="R308" s="23">
        <v>1</v>
      </c>
      <c r="S308" s="22">
        <v>7061554.0700000003</v>
      </c>
      <c r="T308" s="22">
        <v>848579</v>
      </c>
      <c r="U308" s="26">
        <v>0</v>
      </c>
    </row>
    <row r="309" spans="1:21" s="24" customFormat="1" ht="114.75" customHeight="1" x14ac:dyDescent="0.25">
      <c r="A309" s="23">
        <v>306</v>
      </c>
      <c r="B309" s="23">
        <v>2223572</v>
      </c>
      <c r="C309" s="23">
        <v>2026</v>
      </c>
      <c r="D309" s="30">
        <v>2026</v>
      </c>
      <c r="E309" s="23" t="s">
        <v>40</v>
      </c>
      <c r="F309" s="25">
        <v>0</v>
      </c>
      <c r="G309" s="25">
        <v>0</v>
      </c>
      <c r="H309" s="25">
        <v>0</v>
      </c>
      <c r="I309" s="25">
        <v>0</v>
      </c>
      <c r="J309" s="25">
        <v>0</v>
      </c>
      <c r="K309" s="25">
        <v>0</v>
      </c>
      <c r="L309" s="25">
        <v>0</v>
      </c>
      <c r="M309" s="25">
        <v>0</v>
      </c>
      <c r="N309" s="25">
        <v>0</v>
      </c>
      <c r="O309" s="25">
        <v>0</v>
      </c>
      <c r="P309" s="25"/>
      <c r="Q309" s="23" t="s">
        <v>269</v>
      </c>
      <c r="R309" s="23">
        <v>1</v>
      </c>
      <c r="S309" s="22">
        <v>41383356.810000002</v>
      </c>
      <c r="T309" s="22">
        <v>5345839</v>
      </c>
      <c r="U309" s="26" t="s">
        <v>414</v>
      </c>
    </row>
    <row r="310" spans="1:21" s="24" customFormat="1" ht="114.75" customHeight="1" x14ac:dyDescent="0.25">
      <c r="A310" s="23">
        <v>307</v>
      </c>
      <c r="B310" s="23">
        <v>2450300</v>
      </c>
      <c r="C310" s="23">
        <v>2026</v>
      </c>
      <c r="D310" s="30">
        <v>2026</v>
      </c>
      <c r="E310" s="23" t="s">
        <v>40</v>
      </c>
      <c r="F310" s="25">
        <v>0</v>
      </c>
      <c r="G310" s="25">
        <v>0</v>
      </c>
      <c r="H310" s="25">
        <v>0</v>
      </c>
      <c r="I310" s="25">
        <v>0</v>
      </c>
      <c r="J310" s="25">
        <v>0</v>
      </c>
      <c r="K310" s="25">
        <v>0</v>
      </c>
      <c r="L310" s="25">
        <v>0</v>
      </c>
      <c r="M310" s="25">
        <v>0</v>
      </c>
      <c r="N310" s="25">
        <v>0</v>
      </c>
      <c r="O310" s="25">
        <v>0</v>
      </c>
      <c r="P310" s="25"/>
      <c r="Q310" s="23" t="s">
        <v>269</v>
      </c>
      <c r="R310" s="23">
        <v>1</v>
      </c>
      <c r="S310" s="22">
        <v>20506936.039999999</v>
      </c>
      <c r="T310" s="22">
        <v>2726142</v>
      </c>
      <c r="U310" s="26" t="s">
        <v>415</v>
      </c>
    </row>
    <row r="311" spans="1:21" s="24" customFormat="1" ht="114.75" customHeight="1" x14ac:dyDescent="0.25">
      <c r="A311" s="23">
        <v>308</v>
      </c>
      <c r="B311" s="23">
        <v>2313370</v>
      </c>
      <c r="C311" s="23">
        <v>2026</v>
      </c>
      <c r="D311" s="30">
        <v>2026</v>
      </c>
      <c r="E311" s="23" t="s">
        <v>40</v>
      </c>
      <c r="F311" s="25">
        <v>0</v>
      </c>
      <c r="G311" s="25">
        <v>0</v>
      </c>
      <c r="H311" s="25">
        <v>0</v>
      </c>
      <c r="I311" s="25">
        <v>0</v>
      </c>
      <c r="J311" s="25">
        <v>0</v>
      </c>
      <c r="K311" s="25">
        <v>0</v>
      </c>
      <c r="L311" s="25">
        <v>0</v>
      </c>
      <c r="M311" s="25">
        <v>0</v>
      </c>
      <c r="N311" s="25">
        <v>0</v>
      </c>
      <c r="O311" s="25">
        <v>0</v>
      </c>
      <c r="P311" s="25"/>
      <c r="Q311" s="23" t="s">
        <v>269</v>
      </c>
      <c r="R311" s="23">
        <v>1</v>
      </c>
      <c r="S311" s="22">
        <v>21495850.850000001</v>
      </c>
      <c r="T311" s="22">
        <v>4000000</v>
      </c>
      <c r="U311" s="26" t="s">
        <v>416</v>
      </c>
    </row>
    <row r="312" spans="1:21" s="24" customFormat="1" x14ac:dyDescent="0.25">
      <c r="A312" s="23">
        <v>309</v>
      </c>
      <c r="B312" s="23">
        <v>2285981</v>
      </c>
      <c r="C312" s="23">
        <v>2026</v>
      </c>
      <c r="D312" s="30">
        <v>2026</v>
      </c>
      <c r="E312" s="23" t="s">
        <v>40</v>
      </c>
      <c r="F312" s="25">
        <v>0</v>
      </c>
      <c r="G312" s="25">
        <v>0</v>
      </c>
      <c r="H312" s="25">
        <v>0</v>
      </c>
      <c r="I312" s="25">
        <v>0</v>
      </c>
      <c r="J312" s="25">
        <v>0</v>
      </c>
      <c r="K312" s="25">
        <v>0</v>
      </c>
      <c r="L312" s="25">
        <v>0</v>
      </c>
      <c r="M312" s="25">
        <v>0</v>
      </c>
      <c r="N312" s="25">
        <v>0</v>
      </c>
      <c r="O312" s="25">
        <v>0</v>
      </c>
      <c r="P312" s="25"/>
      <c r="Q312" s="23" t="s">
        <v>269</v>
      </c>
      <c r="R312" s="23">
        <v>1</v>
      </c>
      <c r="S312" s="22">
        <v>9458855.3200000003</v>
      </c>
      <c r="T312" s="22">
        <v>1866771</v>
      </c>
      <c r="U312" s="26">
        <v>0</v>
      </c>
    </row>
    <row r="313" spans="1:21" s="24" customFormat="1" x14ac:dyDescent="0.25">
      <c r="A313" s="23">
        <v>310</v>
      </c>
      <c r="B313" s="23">
        <v>2180291</v>
      </c>
      <c r="C313" s="23">
        <v>2026</v>
      </c>
      <c r="D313" s="30">
        <v>2026</v>
      </c>
      <c r="E313" s="23" t="s">
        <v>40</v>
      </c>
      <c r="F313" s="25">
        <v>0</v>
      </c>
      <c r="G313" s="25">
        <v>0</v>
      </c>
      <c r="H313" s="25">
        <v>0</v>
      </c>
      <c r="I313" s="25">
        <v>0</v>
      </c>
      <c r="J313" s="25">
        <v>0</v>
      </c>
      <c r="K313" s="25">
        <v>0</v>
      </c>
      <c r="L313" s="25">
        <v>0</v>
      </c>
      <c r="M313" s="25">
        <v>0</v>
      </c>
      <c r="N313" s="25">
        <v>0</v>
      </c>
      <c r="O313" s="25">
        <v>0</v>
      </c>
      <c r="P313" s="25"/>
      <c r="Q313" s="23" t="s">
        <v>269</v>
      </c>
      <c r="R313" s="23">
        <v>1</v>
      </c>
      <c r="S313" s="22">
        <v>6909590.3899999997</v>
      </c>
      <c r="T313" s="22">
        <v>1189426</v>
      </c>
      <c r="U313" s="26">
        <v>0</v>
      </c>
    </row>
    <row r="314" spans="1:21" s="24" customFormat="1" ht="51" customHeight="1" x14ac:dyDescent="0.25">
      <c r="A314" s="23">
        <v>311</v>
      </c>
      <c r="B314" s="23">
        <v>2451403</v>
      </c>
      <c r="C314" s="23">
        <v>2026</v>
      </c>
      <c r="D314" s="30">
        <v>2026</v>
      </c>
      <c r="E314" s="23" t="s">
        <v>40</v>
      </c>
      <c r="F314" s="25">
        <v>0</v>
      </c>
      <c r="G314" s="25">
        <v>0</v>
      </c>
      <c r="H314" s="25">
        <v>0</v>
      </c>
      <c r="I314" s="25">
        <v>0</v>
      </c>
      <c r="J314" s="25">
        <v>0</v>
      </c>
      <c r="K314" s="25">
        <v>0</v>
      </c>
      <c r="L314" s="25">
        <v>0</v>
      </c>
      <c r="M314" s="25">
        <v>0</v>
      </c>
      <c r="N314" s="25">
        <v>0</v>
      </c>
      <c r="O314" s="25">
        <v>0</v>
      </c>
      <c r="P314" s="25"/>
      <c r="Q314" s="23" t="s">
        <v>81</v>
      </c>
      <c r="R314" s="23">
        <v>1</v>
      </c>
      <c r="S314" s="22">
        <v>4621395.1100000003</v>
      </c>
      <c r="T314" s="22">
        <v>736597</v>
      </c>
      <c r="U314" s="26" t="s">
        <v>417</v>
      </c>
    </row>
    <row r="315" spans="1:21" s="24" customFormat="1" ht="51" customHeight="1" x14ac:dyDescent="0.25">
      <c r="A315" s="23">
        <v>312</v>
      </c>
      <c r="B315" s="23">
        <v>2341090</v>
      </c>
      <c r="C315" s="23">
        <v>2026</v>
      </c>
      <c r="D315" s="30">
        <v>2026</v>
      </c>
      <c r="E315" s="23" t="s">
        <v>40</v>
      </c>
      <c r="F315" s="25">
        <v>0</v>
      </c>
      <c r="G315" s="25">
        <v>0</v>
      </c>
      <c r="H315" s="25">
        <v>0</v>
      </c>
      <c r="I315" s="25">
        <v>0</v>
      </c>
      <c r="J315" s="25">
        <v>0</v>
      </c>
      <c r="K315" s="25">
        <v>0</v>
      </c>
      <c r="L315" s="25">
        <v>0</v>
      </c>
      <c r="M315" s="25">
        <v>0</v>
      </c>
      <c r="N315" s="25">
        <v>0</v>
      </c>
      <c r="O315" s="25">
        <v>0</v>
      </c>
      <c r="P315" s="25"/>
      <c r="Q315" s="23" t="s">
        <v>269</v>
      </c>
      <c r="R315" s="23">
        <v>1</v>
      </c>
      <c r="S315" s="22">
        <v>32565315.899999999</v>
      </c>
      <c r="T315" s="22">
        <v>9769594</v>
      </c>
      <c r="U315" s="26" t="s">
        <v>418</v>
      </c>
    </row>
    <row r="316" spans="1:21" s="24" customFormat="1" x14ac:dyDescent="0.25">
      <c r="A316" s="23">
        <v>313</v>
      </c>
      <c r="B316" s="23">
        <v>2484550</v>
      </c>
      <c r="C316" s="23">
        <v>2026</v>
      </c>
      <c r="D316" s="30">
        <v>2026</v>
      </c>
      <c r="E316" s="23" t="s">
        <v>40</v>
      </c>
      <c r="F316" s="25">
        <v>0</v>
      </c>
      <c r="G316" s="25">
        <v>0</v>
      </c>
      <c r="H316" s="25">
        <v>0</v>
      </c>
      <c r="I316" s="25">
        <v>0</v>
      </c>
      <c r="J316" s="25">
        <v>0</v>
      </c>
      <c r="K316" s="25">
        <v>0</v>
      </c>
      <c r="L316" s="25">
        <v>0</v>
      </c>
      <c r="M316" s="25">
        <v>0</v>
      </c>
      <c r="N316" s="25">
        <v>0</v>
      </c>
      <c r="O316" s="25">
        <v>0</v>
      </c>
      <c r="P316" s="25"/>
      <c r="Q316" s="23" t="s">
        <v>269</v>
      </c>
      <c r="R316" s="23">
        <v>1</v>
      </c>
      <c r="S316" s="22">
        <v>4460857.07</v>
      </c>
      <c r="T316" s="22">
        <v>1500000</v>
      </c>
      <c r="U316" s="26">
        <v>0</v>
      </c>
    </row>
    <row r="317" spans="1:21" s="24" customFormat="1" x14ac:dyDescent="0.25">
      <c r="A317" s="23">
        <v>314</v>
      </c>
      <c r="B317" s="23">
        <v>2333440</v>
      </c>
      <c r="C317" s="23">
        <v>2026</v>
      </c>
      <c r="D317" s="30">
        <v>2026</v>
      </c>
      <c r="E317" s="23" t="s">
        <v>40</v>
      </c>
      <c r="F317" s="25">
        <v>0</v>
      </c>
      <c r="G317" s="25">
        <v>0</v>
      </c>
      <c r="H317" s="25">
        <v>0</v>
      </c>
      <c r="I317" s="25">
        <v>0</v>
      </c>
      <c r="J317" s="25">
        <v>0</v>
      </c>
      <c r="K317" s="25">
        <v>0</v>
      </c>
      <c r="L317" s="25">
        <v>0</v>
      </c>
      <c r="M317" s="25">
        <v>0</v>
      </c>
      <c r="N317" s="25">
        <v>0</v>
      </c>
      <c r="O317" s="25">
        <v>0</v>
      </c>
      <c r="P317" s="25"/>
      <c r="Q317" s="23" t="s">
        <v>269</v>
      </c>
      <c r="R317" s="23">
        <v>1</v>
      </c>
      <c r="S317" s="22">
        <v>4607148.09</v>
      </c>
      <c r="T317" s="22">
        <v>2000000</v>
      </c>
      <c r="U317" s="26">
        <v>0</v>
      </c>
    </row>
    <row r="318" spans="1:21" s="24" customFormat="1" x14ac:dyDescent="0.25">
      <c r="A318" s="23">
        <v>315</v>
      </c>
      <c r="B318" s="23">
        <v>2223482</v>
      </c>
      <c r="C318" s="23">
        <v>2026</v>
      </c>
      <c r="D318" s="30">
        <v>2026</v>
      </c>
      <c r="E318" s="23" t="s">
        <v>40</v>
      </c>
      <c r="F318" s="25">
        <v>0</v>
      </c>
      <c r="G318" s="25">
        <v>0</v>
      </c>
      <c r="H318" s="25">
        <v>0</v>
      </c>
      <c r="I318" s="25">
        <v>0</v>
      </c>
      <c r="J318" s="25">
        <v>0</v>
      </c>
      <c r="K318" s="25">
        <v>0</v>
      </c>
      <c r="L318" s="25">
        <v>0</v>
      </c>
      <c r="M318" s="25">
        <v>0</v>
      </c>
      <c r="N318" s="25">
        <v>0</v>
      </c>
      <c r="O318" s="25">
        <v>0</v>
      </c>
      <c r="P318" s="25"/>
      <c r="Q318" s="23" t="s">
        <v>269</v>
      </c>
      <c r="R318" s="23">
        <v>1</v>
      </c>
      <c r="S318" s="22">
        <v>4855231.53</v>
      </c>
      <c r="T318" s="22">
        <v>4777231</v>
      </c>
      <c r="U318" s="26">
        <v>0</v>
      </c>
    </row>
    <row r="319" spans="1:21" s="24" customFormat="1" ht="51" customHeight="1" x14ac:dyDescent="0.25">
      <c r="A319" s="23">
        <v>316</v>
      </c>
      <c r="B319" s="23">
        <v>2194360</v>
      </c>
      <c r="C319" s="23">
        <v>2014</v>
      </c>
      <c r="D319" s="30">
        <v>2026</v>
      </c>
      <c r="E319" s="23" t="s">
        <v>46</v>
      </c>
      <c r="F319" s="25" t="s">
        <v>25</v>
      </c>
      <c r="G319" s="25" t="s">
        <v>26</v>
      </c>
      <c r="H319" s="25" t="s">
        <v>40</v>
      </c>
      <c r="I319" s="25">
        <v>0</v>
      </c>
      <c r="J319" s="25">
        <v>0</v>
      </c>
      <c r="K319" s="25">
        <v>0</v>
      </c>
      <c r="L319" s="25">
        <v>0</v>
      </c>
      <c r="M319" s="25">
        <v>0</v>
      </c>
      <c r="N319" s="25">
        <v>0</v>
      </c>
      <c r="O319" s="25">
        <v>0</v>
      </c>
      <c r="P319" s="25"/>
      <c r="Q319" s="23" t="s">
        <v>312</v>
      </c>
      <c r="R319" s="23">
        <v>2</v>
      </c>
      <c r="S319" s="22">
        <v>3851592.5</v>
      </c>
      <c r="T319" s="22">
        <v>6890531</v>
      </c>
      <c r="U319" s="26">
        <v>0</v>
      </c>
    </row>
    <row r="320" spans="1:21" s="24" customFormat="1" x14ac:dyDescent="0.25">
      <c r="A320" s="23">
        <v>317</v>
      </c>
      <c r="B320" s="23">
        <v>2452723</v>
      </c>
      <c r="C320" s="23">
        <v>2026</v>
      </c>
      <c r="D320" s="30">
        <v>2026</v>
      </c>
      <c r="E320" s="23" t="s">
        <v>40</v>
      </c>
      <c r="F320" s="25">
        <v>0</v>
      </c>
      <c r="G320" s="25">
        <v>0</v>
      </c>
      <c r="H320" s="25">
        <v>0</v>
      </c>
      <c r="I320" s="25">
        <v>0</v>
      </c>
      <c r="J320" s="25">
        <v>0</v>
      </c>
      <c r="K320" s="25">
        <v>0</v>
      </c>
      <c r="L320" s="25">
        <v>0</v>
      </c>
      <c r="M320" s="25">
        <v>0</v>
      </c>
      <c r="N320" s="25">
        <v>0</v>
      </c>
      <c r="O320" s="25">
        <v>0</v>
      </c>
      <c r="P320" s="25"/>
      <c r="Q320" s="23" t="s">
        <v>269</v>
      </c>
      <c r="R320" s="23">
        <v>1</v>
      </c>
      <c r="S320" s="22">
        <v>15696814.34</v>
      </c>
      <c r="T320" s="22">
        <v>2234761</v>
      </c>
      <c r="U320" s="26" t="s">
        <v>269</v>
      </c>
    </row>
    <row r="321" spans="1:21" s="24" customFormat="1" ht="38.25" customHeight="1" x14ac:dyDescent="0.25">
      <c r="A321" s="23">
        <v>318</v>
      </c>
      <c r="B321" s="23">
        <v>2196857</v>
      </c>
      <c r="C321" s="23">
        <v>2014</v>
      </c>
      <c r="D321" s="30">
        <v>2026</v>
      </c>
      <c r="E321" s="23" t="s">
        <v>46</v>
      </c>
      <c r="F321" s="25" t="s">
        <v>26</v>
      </c>
      <c r="G321" s="25" t="s">
        <v>40</v>
      </c>
      <c r="H321" s="25">
        <v>0</v>
      </c>
      <c r="I321" s="25">
        <v>0</v>
      </c>
      <c r="J321" s="25">
        <v>0</v>
      </c>
      <c r="K321" s="25">
        <v>0</v>
      </c>
      <c r="L321" s="25">
        <v>0</v>
      </c>
      <c r="M321" s="25">
        <v>0</v>
      </c>
      <c r="N321" s="25">
        <v>0</v>
      </c>
      <c r="O321" s="25">
        <v>0</v>
      </c>
      <c r="P321" s="25"/>
      <c r="Q321" s="23" t="s">
        <v>89</v>
      </c>
      <c r="R321" s="23">
        <v>1</v>
      </c>
      <c r="S321" s="22">
        <v>3367192.65</v>
      </c>
      <c r="T321" s="22">
        <v>4513409</v>
      </c>
      <c r="U321" s="26">
        <v>0</v>
      </c>
    </row>
    <row r="322" spans="1:21" s="24" customFormat="1" ht="38.25" customHeight="1" x14ac:dyDescent="0.25">
      <c r="A322" s="23">
        <v>319</v>
      </c>
      <c r="B322" s="23">
        <v>2196834</v>
      </c>
      <c r="C322" s="23">
        <v>2014</v>
      </c>
      <c r="D322" s="30">
        <v>2026</v>
      </c>
      <c r="E322" s="23" t="s">
        <v>46</v>
      </c>
      <c r="F322" s="25" t="s">
        <v>40</v>
      </c>
      <c r="G322" s="25">
        <v>0</v>
      </c>
      <c r="H322" s="25">
        <v>0</v>
      </c>
      <c r="I322" s="25">
        <v>0</v>
      </c>
      <c r="J322" s="25">
        <v>0</v>
      </c>
      <c r="K322" s="25">
        <v>0</v>
      </c>
      <c r="L322" s="25">
        <v>0</v>
      </c>
      <c r="M322" s="25">
        <v>0</v>
      </c>
      <c r="N322" s="25">
        <v>0</v>
      </c>
      <c r="O322" s="25">
        <v>0</v>
      </c>
      <c r="P322" s="25"/>
      <c r="Q322" s="23" t="s">
        <v>89</v>
      </c>
      <c r="R322" s="23">
        <v>1</v>
      </c>
      <c r="S322" s="22">
        <v>775795.69</v>
      </c>
      <c r="T322" s="22">
        <v>795351</v>
      </c>
      <c r="U322" s="26">
        <v>0</v>
      </c>
    </row>
    <row r="323" spans="1:21" s="24" customFormat="1" ht="38.25" customHeight="1" x14ac:dyDescent="0.25">
      <c r="A323" s="23">
        <v>320</v>
      </c>
      <c r="B323" s="23">
        <v>2234731</v>
      </c>
      <c r="C323" s="23">
        <v>2014</v>
      </c>
      <c r="D323" s="30">
        <v>2026</v>
      </c>
      <c r="E323" s="23" t="s">
        <v>46</v>
      </c>
      <c r="F323" s="25" t="s">
        <v>26</v>
      </c>
      <c r="G323" s="25" t="s">
        <v>40</v>
      </c>
      <c r="H323" s="25">
        <v>0</v>
      </c>
      <c r="I323" s="25">
        <v>0</v>
      </c>
      <c r="J323" s="25">
        <v>0</v>
      </c>
      <c r="K323" s="25">
        <v>0</v>
      </c>
      <c r="L323" s="25">
        <v>0</v>
      </c>
      <c r="M323" s="25">
        <v>0</v>
      </c>
      <c r="N323" s="25">
        <v>0</v>
      </c>
      <c r="O323" s="25">
        <v>0</v>
      </c>
      <c r="P323" s="25"/>
      <c r="Q323" s="23" t="s">
        <v>312</v>
      </c>
      <c r="R323" s="23">
        <v>1</v>
      </c>
      <c r="S323" s="22">
        <v>5483836.1600000001</v>
      </c>
      <c r="T323" s="22">
        <v>222155</v>
      </c>
      <c r="U323" s="26">
        <v>0</v>
      </c>
    </row>
    <row r="324" spans="1:21" s="24" customFormat="1" ht="38.25" customHeight="1" x14ac:dyDescent="0.25">
      <c r="A324" s="23">
        <v>321</v>
      </c>
      <c r="B324" s="23">
        <v>2250307</v>
      </c>
      <c r="C324" s="23">
        <v>2015</v>
      </c>
      <c r="D324" s="30">
        <v>2026</v>
      </c>
      <c r="E324" s="23" t="s">
        <v>20</v>
      </c>
      <c r="F324" s="25" t="s">
        <v>26</v>
      </c>
      <c r="G324" s="25" t="s">
        <v>40</v>
      </c>
      <c r="H324" s="25">
        <v>0</v>
      </c>
      <c r="I324" s="25">
        <v>0</v>
      </c>
      <c r="J324" s="25">
        <v>0</v>
      </c>
      <c r="K324" s="25">
        <v>0</v>
      </c>
      <c r="L324" s="25">
        <v>0</v>
      </c>
      <c r="M324" s="25">
        <v>0</v>
      </c>
      <c r="N324" s="25">
        <v>0</v>
      </c>
      <c r="O324" s="25">
        <v>0</v>
      </c>
      <c r="P324" s="25"/>
      <c r="Q324" s="23" t="s">
        <v>89</v>
      </c>
      <c r="R324" s="23">
        <v>1</v>
      </c>
      <c r="S324" s="22">
        <v>839388</v>
      </c>
      <c r="T324" s="22">
        <v>941120</v>
      </c>
      <c r="U324" s="26">
        <v>0</v>
      </c>
    </row>
    <row r="325" spans="1:21" s="24" customFormat="1" ht="38.25" customHeight="1" x14ac:dyDescent="0.25">
      <c r="A325" s="23">
        <v>322</v>
      </c>
      <c r="B325" s="23">
        <v>2250460</v>
      </c>
      <c r="C325" s="23">
        <v>2015</v>
      </c>
      <c r="D325" s="30">
        <v>2026</v>
      </c>
      <c r="E325" s="23" t="s">
        <v>20</v>
      </c>
      <c r="F325" s="25" t="s">
        <v>26</v>
      </c>
      <c r="G325" s="25" t="s">
        <v>40</v>
      </c>
      <c r="H325" s="25">
        <v>0</v>
      </c>
      <c r="I325" s="25">
        <v>0</v>
      </c>
      <c r="J325" s="25">
        <v>0</v>
      </c>
      <c r="K325" s="25">
        <v>0</v>
      </c>
      <c r="L325" s="25">
        <v>0</v>
      </c>
      <c r="M325" s="25">
        <v>0</v>
      </c>
      <c r="N325" s="25">
        <v>0</v>
      </c>
      <c r="O325" s="25">
        <v>0</v>
      </c>
      <c r="P325" s="25"/>
      <c r="Q325" s="23" t="s">
        <v>89</v>
      </c>
      <c r="R325" s="23">
        <v>1</v>
      </c>
      <c r="S325" s="22">
        <v>700545</v>
      </c>
      <c r="T325" s="22">
        <v>1056041</v>
      </c>
      <c r="U325" s="26">
        <v>0</v>
      </c>
    </row>
    <row r="326" spans="1:21" s="24" customFormat="1" ht="153" customHeight="1" x14ac:dyDescent="0.25">
      <c r="A326" s="23">
        <v>323</v>
      </c>
      <c r="B326" s="23">
        <v>2251280</v>
      </c>
      <c r="C326" s="23" t="s">
        <v>43</v>
      </c>
      <c r="D326" s="30">
        <v>2026</v>
      </c>
      <c r="E326" s="23" t="s">
        <v>44</v>
      </c>
      <c r="F326" s="25" t="s">
        <v>26</v>
      </c>
      <c r="G326" s="25" t="s">
        <v>40</v>
      </c>
      <c r="H326" s="25">
        <v>0</v>
      </c>
      <c r="I326" s="25">
        <v>0</v>
      </c>
      <c r="J326" s="25">
        <v>0</v>
      </c>
      <c r="K326" s="25">
        <v>0</v>
      </c>
      <c r="L326" s="25">
        <v>0</v>
      </c>
      <c r="M326" s="25">
        <v>0</v>
      </c>
      <c r="N326" s="25">
        <v>0</v>
      </c>
      <c r="O326" s="25">
        <v>0</v>
      </c>
      <c r="P326" s="25"/>
      <c r="Q326" s="23" t="s">
        <v>89</v>
      </c>
      <c r="R326" s="23">
        <v>6</v>
      </c>
      <c r="S326" s="22">
        <v>9936047.4600000009</v>
      </c>
      <c r="T326" s="22">
        <v>12734607</v>
      </c>
      <c r="U326" s="26" t="s">
        <v>419</v>
      </c>
    </row>
    <row r="327" spans="1:21" s="24" customFormat="1" ht="293.25" customHeight="1" x14ac:dyDescent="0.25">
      <c r="A327" s="23">
        <v>324</v>
      </c>
      <c r="B327" s="23">
        <v>2226157</v>
      </c>
      <c r="C327" s="23">
        <v>2014</v>
      </c>
      <c r="D327" s="30">
        <v>2026</v>
      </c>
      <c r="E327" s="23" t="s">
        <v>46</v>
      </c>
      <c r="F327" s="25" t="s">
        <v>259</v>
      </c>
      <c r="G327" s="25" t="s">
        <v>25</v>
      </c>
      <c r="H327" s="25" t="s">
        <v>40</v>
      </c>
      <c r="I327" s="25">
        <v>0</v>
      </c>
      <c r="J327" s="25">
        <v>0</v>
      </c>
      <c r="K327" s="25">
        <v>0</v>
      </c>
      <c r="L327" s="25">
        <v>0</v>
      </c>
      <c r="M327" s="25">
        <v>0</v>
      </c>
      <c r="N327" s="25">
        <v>0</v>
      </c>
      <c r="O327" s="25">
        <v>0</v>
      </c>
      <c r="P327" s="25"/>
      <c r="Q327" s="23" t="s">
        <v>261</v>
      </c>
      <c r="R327" s="23">
        <v>3</v>
      </c>
      <c r="S327" s="22">
        <v>14939322.91</v>
      </c>
      <c r="T327" s="22">
        <v>13033471</v>
      </c>
      <c r="U327" s="26" t="s">
        <v>420</v>
      </c>
    </row>
    <row r="328" spans="1:21" s="24" customFormat="1" ht="242.25" customHeight="1" x14ac:dyDescent="0.25">
      <c r="A328" s="23">
        <v>325</v>
      </c>
      <c r="B328" s="23">
        <v>2167890</v>
      </c>
      <c r="C328" s="23">
        <v>2015</v>
      </c>
      <c r="D328" s="30">
        <v>2026</v>
      </c>
      <c r="E328" s="23" t="s">
        <v>344</v>
      </c>
      <c r="F328" s="25" t="s">
        <v>25</v>
      </c>
      <c r="G328" s="25" t="s">
        <v>26</v>
      </c>
      <c r="H328" s="25" t="s">
        <v>216</v>
      </c>
      <c r="I328" s="25" t="s">
        <v>40</v>
      </c>
      <c r="J328" s="25">
        <v>0</v>
      </c>
      <c r="K328" s="25">
        <v>0</v>
      </c>
      <c r="L328" s="25">
        <v>0</v>
      </c>
      <c r="M328" s="25">
        <v>0</v>
      </c>
      <c r="N328" s="25">
        <v>0</v>
      </c>
      <c r="O328" s="25">
        <v>0</v>
      </c>
      <c r="P328" s="25"/>
      <c r="Q328" s="23" t="s">
        <v>89</v>
      </c>
      <c r="R328" s="23">
        <v>1</v>
      </c>
      <c r="S328" s="22">
        <v>16186833.6</v>
      </c>
      <c r="T328" s="22">
        <v>9536526</v>
      </c>
      <c r="U328" s="26" t="s">
        <v>421</v>
      </c>
    </row>
    <row r="329" spans="1:21" s="24" customFormat="1" ht="191.25" customHeight="1" x14ac:dyDescent="0.25">
      <c r="A329" s="23">
        <v>326</v>
      </c>
      <c r="B329" s="23">
        <v>2238720</v>
      </c>
      <c r="C329" s="23">
        <v>20177</v>
      </c>
      <c r="D329" s="30">
        <v>2026</v>
      </c>
      <c r="E329" s="23" t="s">
        <v>44</v>
      </c>
      <c r="F329" s="25" t="s">
        <v>40</v>
      </c>
      <c r="G329" s="25">
        <v>0</v>
      </c>
      <c r="H329" s="25">
        <v>0</v>
      </c>
      <c r="I329" s="25">
        <v>0</v>
      </c>
      <c r="J329" s="25">
        <v>0</v>
      </c>
      <c r="K329" s="25">
        <v>0</v>
      </c>
      <c r="L329" s="25">
        <v>0</v>
      </c>
      <c r="M329" s="25">
        <v>0</v>
      </c>
      <c r="N329" s="25">
        <v>0</v>
      </c>
      <c r="O329" s="25">
        <v>0</v>
      </c>
      <c r="P329" s="25"/>
      <c r="Q329" s="23" t="s">
        <v>89</v>
      </c>
      <c r="R329" s="23">
        <v>1</v>
      </c>
      <c r="S329" s="22">
        <v>24729065.460000001</v>
      </c>
      <c r="T329" s="22">
        <v>7600981</v>
      </c>
      <c r="U329" s="26" t="s">
        <v>422</v>
      </c>
    </row>
    <row r="330" spans="1:21" s="24" customFormat="1" ht="153" customHeight="1" x14ac:dyDescent="0.25">
      <c r="A330" s="23">
        <v>327</v>
      </c>
      <c r="B330" s="23">
        <v>2282293</v>
      </c>
      <c r="C330" s="23">
        <v>2026</v>
      </c>
      <c r="D330" s="30">
        <v>2026</v>
      </c>
      <c r="E330" s="23" t="s">
        <v>40</v>
      </c>
      <c r="F330" s="25">
        <v>0</v>
      </c>
      <c r="G330" s="25">
        <v>0</v>
      </c>
      <c r="H330" s="25">
        <v>0</v>
      </c>
      <c r="I330" s="25">
        <v>0</v>
      </c>
      <c r="J330" s="25">
        <v>0</v>
      </c>
      <c r="K330" s="25">
        <v>0</v>
      </c>
      <c r="L330" s="25">
        <v>0</v>
      </c>
      <c r="M330" s="25">
        <v>0</v>
      </c>
      <c r="N330" s="25">
        <v>0</v>
      </c>
      <c r="O330" s="25">
        <v>0</v>
      </c>
      <c r="P330" s="25"/>
      <c r="Q330" s="23" t="s">
        <v>269</v>
      </c>
      <c r="R330" s="23">
        <v>1</v>
      </c>
      <c r="S330" s="22">
        <v>8105918.3300000001</v>
      </c>
      <c r="T330" s="22">
        <v>5681496</v>
      </c>
      <c r="U330" s="26" t="s">
        <v>423</v>
      </c>
    </row>
    <row r="331" spans="1:21" s="24" customFormat="1" ht="38.25" customHeight="1" x14ac:dyDescent="0.25">
      <c r="A331" s="23">
        <v>328</v>
      </c>
      <c r="B331" s="23">
        <v>2300256</v>
      </c>
      <c r="C331" s="23">
        <v>2025</v>
      </c>
      <c r="D331" s="30">
        <v>2026</v>
      </c>
      <c r="E331" s="23" t="s">
        <v>250</v>
      </c>
      <c r="F331" s="25" t="s">
        <v>40</v>
      </c>
      <c r="G331" s="25">
        <v>0</v>
      </c>
      <c r="H331" s="25">
        <v>0</v>
      </c>
      <c r="I331" s="25">
        <v>0</v>
      </c>
      <c r="J331" s="25">
        <v>0</v>
      </c>
      <c r="K331" s="25">
        <v>0</v>
      </c>
      <c r="L331" s="25">
        <v>0</v>
      </c>
      <c r="M331" s="25">
        <v>0</v>
      </c>
      <c r="N331" s="25">
        <v>0</v>
      </c>
      <c r="O331" s="25">
        <v>0</v>
      </c>
      <c r="P331" s="25"/>
      <c r="Q331" s="23" t="s">
        <v>81</v>
      </c>
      <c r="R331" s="23">
        <v>1</v>
      </c>
      <c r="S331" s="22">
        <v>21178174.600000001</v>
      </c>
      <c r="T331" s="22">
        <v>7290752</v>
      </c>
      <c r="U331" s="26">
        <v>0</v>
      </c>
    </row>
    <row r="332" spans="1:21" s="24" customFormat="1" ht="165.75" customHeight="1" x14ac:dyDescent="0.25">
      <c r="A332" s="23">
        <v>329</v>
      </c>
      <c r="B332" s="23">
        <v>2412506</v>
      </c>
      <c r="C332" s="23">
        <v>2025</v>
      </c>
      <c r="D332" s="30">
        <v>2026</v>
      </c>
      <c r="E332" s="23" t="s">
        <v>250</v>
      </c>
      <c r="F332" s="25" t="s">
        <v>40</v>
      </c>
      <c r="G332" s="25">
        <v>0</v>
      </c>
      <c r="H332" s="25">
        <v>0</v>
      </c>
      <c r="I332" s="25">
        <v>0</v>
      </c>
      <c r="J332" s="25">
        <v>0</v>
      </c>
      <c r="K332" s="25">
        <v>0</v>
      </c>
      <c r="L332" s="25">
        <v>0</v>
      </c>
      <c r="M332" s="25">
        <v>0</v>
      </c>
      <c r="N332" s="25">
        <v>0</v>
      </c>
      <c r="O332" s="25">
        <v>0</v>
      </c>
      <c r="P332" s="25"/>
      <c r="Q332" s="23" t="s">
        <v>76</v>
      </c>
      <c r="R332" s="23">
        <v>1</v>
      </c>
      <c r="S332" s="22">
        <v>38480530</v>
      </c>
      <c r="T332" s="22">
        <v>6985116</v>
      </c>
      <c r="U332" s="26" t="s">
        <v>424</v>
      </c>
    </row>
    <row r="333" spans="1:21" x14ac:dyDescent="0.25">
      <c r="A333" s="12"/>
      <c r="B333" s="12"/>
      <c r="C333" s="12"/>
      <c r="D333" s="12"/>
      <c r="E333" s="12"/>
      <c r="F333" s="12"/>
      <c r="G333" s="12"/>
      <c r="H333" s="12"/>
      <c r="I333" s="12"/>
      <c r="J333" s="12"/>
      <c r="K333" s="12"/>
      <c r="L333" s="12"/>
      <c r="M333" s="12"/>
      <c r="N333" s="12"/>
      <c r="O333" s="12"/>
      <c r="P333" s="12"/>
      <c r="Q333" s="12"/>
      <c r="R333" s="23">
        <f>SUBTOTAL(9,R4:R332)</f>
        <v>587</v>
      </c>
      <c r="S333" s="22">
        <f>SUBTOTAL(9,S4:S332)</f>
        <v>3693808857.8900013</v>
      </c>
      <c r="T333" s="22">
        <f>SUBTOTAL(9,T4:T332)</f>
        <v>3082842406.5992961</v>
      </c>
      <c r="U333" s="12"/>
    </row>
    <row r="334" spans="1:21" x14ac:dyDescent="0.25">
      <c r="A334" s="12"/>
      <c r="B334" s="12"/>
      <c r="C334" s="12"/>
      <c r="D334" s="12"/>
      <c r="E334" s="12"/>
      <c r="F334" s="12"/>
      <c r="G334" s="12"/>
      <c r="H334" s="12"/>
      <c r="I334" s="12"/>
      <c r="J334" s="12"/>
      <c r="K334" s="12"/>
      <c r="L334" s="12"/>
      <c r="M334" s="12"/>
      <c r="N334" s="12"/>
      <c r="O334" s="12"/>
      <c r="P334" s="12"/>
      <c r="Q334" s="12"/>
      <c r="R334" s="12"/>
      <c r="S334" s="12"/>
      <c r="T334" s="31"/>
      <c r="U334" s="12"/>
    </row>
    <row r="335" spans="1:21" x14ac:dyDescent="0.25">
      <c r="A335" s="12"/>
      <c r="B335" s="12"/>
      <c r="C335" s="12"/>
      <c r="D335" s="12"/>
      <c r="E335" s="12"/>
      <c r="F335" s="12"/>
      <c r="G335" s="12"/>
      <c r="H335" s="12"/>
      <c r="I335" s="12"/>
      <c r="J335" s="12"/>
      <c r="K335" s="12"/>
      <c r="L335" s="12"/>
      <c r="M335" s="12"/>
      <c r="N335" s="12"/>
      <c r="O335" s="12"/>
      <c r="P335" s="12"/>
      <c r="Q335" s="12"/>
      <c r="R335" s="12"/>
      <c r="S335" s="12"/>
      <c r="T335" s="31"/>
      <c r="U335" s="12"/>
    </row>
    <row r="336" spans="1:21" x14ac:dyDescent="0.25">
      <c r="A336" s="12"/>
      <c r="B336" s="12"/>
      <c r="C336" s="12"/>
      <c r="D336" s="12"/>
      <c r="E336" s="12"/>
      <c r="F336" s="12"/>
      <c r="G336" s="12"/>
      <c r="H336" s="12"/>
      <c r="I336" s="12"/>
      <c r="J336" s="12"/>
      <c r="K336" s="12"/>
      <c r="L336" s="12"/>
      <c r="M336" s="12"/>
      <c r="N336" s="12"/>
      <c r="O336" s="12"/>
      <c r="P336" s="12"/>
      <c r="Q336" s="12"/>
      <c r="R336" s="12"/>
      <c r="S336" s="12"/>
      <c r="T336" s="31"/>
      <c r="U336" s="12"/>
    </row>
  </sheetData>
  <autoFilter ref="A3:U332" xr:uid="{FD4D6A5F-1614-4D6B-B5A0-6FA225755C4F}"/>
  <mergeCells count="1">
    <mergeCell ref="A1:U1"/>
  </mergeCells>
  <conditionalFormatting sqref="B4:B332">
    <cfRule type="duplicateValues" dxfId="0" priority="7"/>
  </conditionalFormatting>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49bd3faf-f06c-4ee3-ab72-a61af4ed2f6e">
      <Terms xmlns="http://schemas.microsoft.com/office/infopath/2007/PartnerControls"/>
    </lcf76f155ced4ddcb4097134ff3c332f>
    <TaxCatchAll xmlns="741c0ecd-cfbf-4579-a356-13ce61f7a4d1" xsi:nil="true"/>
    <subidoalsistema xmlns="49bd3faf-f06c-4ee3-ab72-a61af4ed2f6e" xsi:nil="true"/>
    <_Flow_SignoffStatus xmlns="49bd3faf-f06c-4ee3-ab72-a61af4ed2f6e"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3B356287177AEA4D8561FBD05A6A634B" ma:contentTypeVersion="19" ma:contentTypeDescription="Crear nuevo documento." ma:contentTypeScope="" ma:versionID="5d21b8e362dc30f69f45de9025325beb">
  <xsd:schema xmlns:xsd="http://www.w3.org/2001/XMLSchema" xmlns:xs="http://www.w3.org/2001/XMLSchema" xmlns:p="http://schemas.microsoft.com/office/2006/metadata/properties" xmlns:ns2="741c0ecd-cfbf-4579-a356-13ce61f7a4d1" xmlns:ns3="49bd3faf-f06c-4ee3-ab72-a61af4ed2f6e" targetNamespace="http://schemas.microsoft.com/office/2006/metadata/properties" ma:root="true" ma:fieldsID="527fa6346545574a91333e8a96eb7630" ns2:_="" ns3:_="">
    <xsd:import namespace="741c0ecd-cfbf-4579-a356-13ce61f7a4d1"/>
    <xsd:import namespace="49bd3faf-f06c-4ee3-ab72-a61af4ed2f6e"/>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DateTaken" minOccurs="0"/>
                <xsd:element ref="ns3:MediaLengthInSeconds" minOccurs="0"/>
                <xsd:element ref="ns3:lcf76f155ced4ddcb4097134ff3c332f" minOccurs="0"/>
                <xsd:element ref="ns2:TaxCatchAll" minOccurs="0"/>
                <xsd:element ref="ns3:MediaServiceGenerationTime" minOccurs="0"/>
                <xsd:element ref="ns3:MediaServiceEventHashCode" minOccurs="0"/>
                <xsd:element ref="ns3:MediaServiceOCR" minOccurs="0"/>
                <xsd:element ref="ns3:_Flow_SignoffStatus" minOccurs="0"/>
                <xsd:element ref="ns3:MediaServiceObjectDetectorVersions" minOccurs="0"/>
                <xsd:element ref="ns3:MediaServiceSearchProperties" minOccurs="0"/>
                <xsd:element ref="ns3:MediaServiceLocation" minOccurs="0"/>
                <xsd:element ref="ns3:subidoalsistema"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41c0ecd-cfbf-4579-a356-13ce61f7a4d1" elementFormDefault="qualified">
    <xsd:import namespace="http://schemas.microsoft.com/office/2006/documentManagement/types"/>
    <xsd:import namespace="http://schemas.microsoft.com/office/infopath/2007/PartnerControls"/>
    <xsd:element name="SharedWithUsers" ma:index="8"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Detalles de uso compartido" ma:internalName="SharedWithDetails" ma:readOnly="true">
      <xsd:simpleType>
        <xsd:restriction base="dms:Note">
          <xsd:maxLength value="255"/>
        </xsd:restriction>
      </xsd:simpleType>
    </xsd:element>
    <xsd:element name="TaxCatchAll" ma:index="16" nillable="true" ma:displayName="Taxonomy Catch All Column" ma:hidden="true" ma:list="{c070f2d5-9f61-454a-8466-9670f3e17081}" ma:internalName="TaxCatchAll" ma:showField="CatchAllData" ma:web="741c0ecd-cfbf-4579-a356-13ce61f7a4d1">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49bd3faf-f06c-4ee3-ab72-a61af4ed2f6e"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lcf76f155ced4ddcb4097134ff3c332f" ma:index="15" nillable="true" ma:taxonomy="true" ma:internalName="lcf76f155ced4ddcb4097134ff3c332f" ma:taxonomyFieldName="MediaServiceImageTags" ma:displayName="Etiquetas de imagen" ma:readOnly="false" ma:fieldId="{5cf76f15-5ced-4ddc-b409-7134ff3c332f}" ma:taxonomyMulti="true" ma:sspId="7fadbc3c-875c-40aa-b677-bb7383716cf3" ma:termSetId="09814cd3-568e-fe90-9814-8d621ff8fb84" ma:anchorId="fba54fb3-c3e1-fe81-a776-ca4b69148c4d" ma:open="true" ma:isKeyword="false">
      <xsd:complexType>
        <xsd:sequence>
          <xsd:element ref="pc:Terms" minOccurs="0" maxOccurs="1"/>
        </xsd:sequence>
      </xsd:complex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_Flow_SignoffStatus" ma:index="20" nillable="true" ma:displayName="Estado de aprobación" ma:internalName="Estado_x0020_de_x0020_aprobaci_x00f3_n">
      <xsd:simpleType>
        <xsd:restriction base="dms:Text"/>
      </xsd:simple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MediaServiceLocation" ma:index="23" nillable="true" ma:displayName="Location" ma:description="" ma:indexed="true" ma:internalName="MediaServiceLocation" ma:readOnly="true">
      <xsd:simpleType>
        <xsd:restriction base="dms:Text"/>
      </xsd:simpleType>
    </xsd:element>
    <xsd:element name="subidoalsistema" ma:index="24" nillable="true" ma:displayName="subido al sistema" ma:format="DateOnly" ma:internalName="subidoalsistema">
      <xsd:simpleType>
        <xsd:restriction base="dms:DateTime"/>
      </xsd:simpleType>
    </xsd:element>
    <xsd:element name="MediaServiceBillingMetadata" ma:index="25"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54CA61F-F470-4D72-8E56-9ED59CE6EB7C}">
  <ds:schemaRefs>
    <ds:schemaRef ds:uri="http://schemas.microsoft.com/sharepoint/v3/contenttype/forms"/>
  </ds:schemaRefs>
</ds:datastoreItem>
</file>

<file path=customXml/itemProps2.xml><?xml version="1.0" encoding="utf-8"?>
<ds:datastoreItem xmlns:ds="http://schemas.openxmlformats.org/officeDocument/2006/customXml" ds:itemID="{114FEB3A-019E-4C15-BA29-EDB6623892F9}">
  <ds:schemaRefs>
    <ds:schemaRef ds:uri="http://schemas.microsoft.com/office/2006/metadata/properties"/>
    <ds:schemaRef ds:uri="http://schemas.microsoft.com/office/infopath/2007/PartnerControls"/>
    <ds:schemaRef ds:uri="49bd3faf-f06c-4ee3-ab72-a61af4ed2f6e"/>
    <ds:schemaRef ds:uri="741c0ecd-cfbf-4579-a356-13ce61f7a4d1"/>
  </ds:schemaRefs>
</ds:datastoreItem>
</file>

<file path=customXml/itemProps3.xml><?xml version="1.0" encoding="utf-8"?>
<ds:datastoreItem xmlns:ds="http://schemas.openxmlformats.org/officeDocument/2006/customXml" ds:itemID="{9F7DD3FE-97FB-4C49-93E3-C5924AA796C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41c0ecd-cfbf-4579-a356-13ce61f7a4d1"/>
    <ds:schemaRef ds:uri="49bd3faf-f06c-4ee3-ab72-a61af4ed2f6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ASITEC-SIAT</vt:lpstr>
      <vt:lpstr>SEGUIMIENTO DE PI FINANCIADOS </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OPP 30</dc:creator>
  <cp:keywords/>
  <dc:description/>
  <cp:lastModifiedBy>UGSC 66</cp:lastModifiedBy>
  <cp:revision/>
  <dcterms:created xsi:type="dcterms:W3CDTF">2015-06-05T18:19:34Z</dcterms:created>
  <dcterms:modified xsi:type="dcterms:W3CDTF">2026-04-10T22:01:53Z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0x0101003B356287177AEA4D8561FBD05A6A634B</vt:lpwstr>
  </property>
  <property fmtid="{D5CDD505-2E9C-101B-9397-08002B2CF9AE}" pid="3" name="MediaServiceImageTags">
    <vt:lpwstr/>
  </property>
</Properties>
</file>