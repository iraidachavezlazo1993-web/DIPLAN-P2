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00_MINEDU\LIMPIEZA - copia\01_input\"/>
    </mc:Choice>
  </mc:AlternateContent>
  <xr:revisionPtr revIDLastSave="0" documentId="8_{E97E21FD-7C2F-4F49-BD3D-6C2BF2CCF103}" xr6:coauthVersionLast="47" xr6:coauthVersionMax="47" xr10:uidLastSave="{00000000-0000-0000-0000-000000000000}"/>
  <bookViews>
    <workbookView xWindow="-120" yWindow="-120" windowWidth="29040" windowHeight="15720" tabRatio="576" xr2:uid="{00000000-000D-0000-FFFF-FFFF00000000}"/>
  </bookViews>
  <sheets>
    <sheet name="MANTENIMIENTO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8" i="2" l="1"/>
  <c r="N8" i="2" s="1"/>
  <c r="M9" i="2"/>
  <c r="N9" i="2" s="1"/>
  <c r="M10" i="2"/>
  <c r="N10" i="2" s="1"/>
  <c r="M11" i="2"/>
  <c r="N11" i="2"/>
  <c r="M12" i="2"/>
  <c r="N12" i="2" s="1"/>
  <c r="M13" i="2"/>
  <c r="N13" i="2"/>
  <c r="M14" i="2"/>
  <c r="N14" i="2"/>
  <c r="M15" i="2"/>
  <c r="N15" i="2"/>
  <c r="M16" i="2"/>
  <c r="N16" i="2" s="1"/>
  <c r="M17" i="2"/>
  <c r="N17" i="2" s="1"/>
  <c r="M18" i="2"/>
  <c r="N18" i="2"/>
  <c r="M19" i="2"/>
  <c r="N19" i="2" s="1"/>
  <c r="M20" i="2"/>
  <c r="N20" i="2" s="1"/>
  <c r="M21" i="2"/>
  <c r="N21" i="2" s="1"/>
  <c r="M22" i="2"/>
  <c r="N22" i="2" s="1"/>
  <c r="M23" i="2"/>
  <c r="N23" i="2" s="1"/>
  <c r="M24" i="2"/>
  <c r="N24" i="2" s="1"/>
  <c r="M25" i="2"/>
  <c r="N25" i="2" s="1"/>
  <c r="M26" i="2"/>
  <c r="N26" i="2"/>
  <c r="M5" i="2"/>
  <c r="N5" i="2" s="1"/>
  <c r="M6" i="2"/>
  <c r="N6" i="2" s="1"/>
  <c r="M7" i="2"/>
  <c r="N7" i="2" s="1"/>
  <c r="M4" i="2"/>
  <c r="N4" i="2" s="1"/>
  <c r="J5" i="2"/>
  <c r="J6" i="2"/>
  <c r="J7" i="2"/>
  <c r="J16" i="2"/>
  <c r="J17" i="2"/>
  <c r="J18" i="2"/>
  <c r="J19" i="2"/>
  <c r="J20" i="2"/>
  <c r="J21" i="2"/>
  <c r="J22" i="2"/>
  <c r="J23" i="2"/>
  <c r="J24" i="2"/>
  <c r="J25" i="2"/>
  <c r="J26" i="2"/>
  <c r="J8" i="2"/>
  <c r="J9" i="2"/>
  <c r="J10" i="2"/>
  <c r="J11" i="2"/>
  <c r="J12" i="2"/>
  <c r="J13" i="2"/>
  <c r="J14" i="2"/>
  <c r="J15" i="2"/>
  <c r="J4" i="2"/>
</calcChain>
</file>

<file path=xl/sharedStrings.xml><?xml version="1.0" encoding="utf-8"?>
<sst xmlns="http://schemas.openxmlformats.org/spreadsheetml/2006/main" count="117" uniqueCount="51">
  <si>
    <t>N°</t>
  </si>
  <si>
    <t>Comentarios (-	Otras variables que se consideren pertinentes para el seguimiento del avance en el cierre de brechas.)</t>
  </si>
  <si>
    <t>SI</t>
  </si>
  <si>
    <t>REPORTE DE INTERVENCIONES DE MANTENIMIENTO 2025-2028</t>
  </si>
  <si>
    <t>Nombre de la I.E.</t>
  </si>
  <si>
    <t>Cuenta con Plan o Manual de Mantenimiento. SI/NO.</t>
  </si>
  <si>
    <t>Alcance del Plan o Manual (Mantenimiento recurrente, Mantenimiento preventivo, Mantenimienro correctivo)</t>
  </si>
  <si>
    <t>Monto anual de mantenimiento recurrente (ejecutado o proyectado) 2025</t>
  </si>
  <si>
    <t>Monto anual de mantenimiento recurrente (ejecutado o proyectado) 2026</t>
  </si>
  <si>
    <t>Monto anual de mantenimiento recurrente (ejecutado o proyectado) 2027</t>
  </si>
  <si>
    <t>Monto anual de mantenimiento recurrente (ejecutado o proyectado) 2028</t>
  </si>
  <si>
    <t>Monto anual de mantenimiento preventido (ejecutado o proyectado) 2025</t>
  </si>
  <si>
    <t>Monto anual de mantenimiento preventido (ejecutado o proyectado) 2026</t>
  </si>
  <si>
    <t>Monto anual de mantenimiento preventido (ejecutado o proyectado) 2027</t>
  </si>
  <si>
    <t>Monto anual de mantenimiento preventido (ejecutado o proyectado) 2028</t>
  </si>
  <si>
    <t>Monto anual de mantenimiento correctivo (ejecutado o proyectado) 2025</t>
  </si>
  <si>
    <t>Monto anual de mantenimiento correctivo (ejecutado o proyectado) 2026</t>
  </si>
  <si>
    <t>Monto anual de mantenimiento correctivo (ejecutado o proyectado) 2027</t>
  </si>
  <si>
    <t>Monto anual de mantenimiento correctivo (ejecutado o proyectado) 2028</t>
  </si>
  <si>
    <t>-	ALCANCE: Activos intervenidos (equipamiento educativo, mobiliario, instalaciones sanitarias, instalaciones eléctricas y mecánicas, tecnologías de la información y comunicaciones, sistemas de detección y alarmas, coberturas, acabados y exteriores).</t>
  </si>
  <si>
    <t>Avance (%)</t>
  </si>
  <si>
    <t>Año de la entrega del PEIP</t>
  </si>
  <si>
    <t>Fecha de inicio del mantenimiento (o estimada)</t>
  </si>
  <si>
    <t>Fecha de culminación de mantenimiento (o estimada)</t>
  </si>
  <si>
    <t>I.E. JORGE BASADRE GROHMANN</t>
  </si>
  <si>
    <t>NINGUNO</t>
  </si>
  <si>
    <t xml:space="preserve">No se cuenta con presupuesto asignado a la fecha </t>
  </si>
  <si>
    <t>I.E. NUESTRA SEÑORA DE LA VISITACION</t>
  </si>
  <si>
    <t>I.E. JOSE DE LA TORRE UGARTE</t>
  </si>
  <si>
    <t>I.E. SAN FELIPE</t>
  </si>
  <si>
    <t>IE 1268 Gustavo Mohme</t>
  </si>
  <si>
    <t>IE 1209 Mscal. Toribio Luzuriaga</t>
  </si>
  <si>
    <t>IE Manuel Gonzales Prada</t>
  </si>
  <si>
    <t>IE 046 Victor Raul Haya de la T</t>
  </si>
  <si>
    <t>IE 1267</t>
  </si>
  <si>
    <t xml:space="preserve">IE Peru Canada </t>
  </si>
  <si>
    <t>IE 1255 Walter Peñaloza</t>
  </si>
  <si>
    <t>IE 034</t>
  </si>
  <si>
    <t>IE 1235 UNION LATINOAMERICANA</t>
  </si>
  <si>
    <t>IE 6094 SANTA ROSA</t>
  </si>
  <si>
    <t>IE 0083 SAN JUAN MACIAS</t>
  </si>
  <si>
    <t>IE 1221 MARIA PARADO DE BELLIDO</t>
  </si>
  <si>
    <t>IE 7207 MARISCAL RAMÓN CASTILLA</t>
  </si>
  <si>
    <t>IE 7086 LOS PRECURSORES</t>
  </si>
  <si>
    <t>IE 6082 LOS PROCERES</t>
  </si>
  <si>
    <t>IE JAVIER HERAUD</t>
  </si>
  <si>
    <t>IE 2099 ROSA MERINO</t>
  </si>
  <si>
    <t>IE 101- 1166 LIBERTADOR SIMÓN BOLIVAR</t>
  </si>
  <si>
    <t>IE 1124 JOSE MARTÍ</t>
  </si>
  <si>
    <t>cui</t>
  </si>
  <si>
    <t>cod_local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</si>
</sst>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8"/>
      <name val="Calibri"/>
      <family val="2"/>
      <scheme val="minor"/>
    </font>
    <font>
      <sz val="10"/>
      <color theme="1"/>
      <name val="Arial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9" fontId="1" fillId="0" borderId="0" xfId="1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9" fontId="1" fillId="2" borderId="1" xfId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43" fontId="5" fillId="0" borderId="1" xfId="2" applyFont="1" applyBorder="1" applyAlignment="1">
      <alignment horizontal="center" vertical="center"/>
    </xf>
    <xf numFmtId="43" fontId="1" fillId="0" borderId="1" xfId="2" applyFont="1" applyBorder="1" applyAlignment="1">
      <alignment horizontal="center" vertical="center"/>
    </xf>
    <xf numFmtId="0" fontId="5" fillId="0" borderId="1" xfId="2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3" fontId="5" fillId="0" borderId="5" xfId="2" applyFont="1" applyBorder="1" applyAlignment="1">
      <alignment horizontal="center" vertical="center"/>
    </xf>
    <xf numFmtId="43" fontId="5" fillId="0" borderId="0" xfId="2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43" fontId="1" fillId="0" borderId="5" xfId="2" applyFont="1" applyBorder="1" applyAlignment="1">
      <alignment horizontal="center" vertical="center"/>
    </xf>
    <xf numFmtId="43" fontId="1" fillId="0" borderId="7" xfId="2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43" fontId="7" fillId="0" borderId="0" xfId="2" applyFont="1" applyBorder="1" applyAlignment="1">
      <alignment horizontal="center" vertical="center"/>
    </xf>
    <xf numFmtId="43" fontId="7" fillId="0" borderId="0" xfId="2" applyFont="1" applyAlignment="1">
      <alignment horizontal="center" vertical="center"/>
    </xf>
    <xf numFmtId="9" fontId="6" fillId="0" borderId="0" xfId="1" applyFont="1" applyAlignment="1">
      <alignment vertical="center"/>
    </xf>
    <xf numFmtId="14" fontId="6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vertical="center"/>
    </xf>
    <xf numFmtId="43" fontId="8" fillId="0" borderId="0" xfId="2" applyFont="1" applyAlignment="1">
      <alignment horizontal="center" vertical="center"/>
    </xf>
    <xf numFmtId="9" fontId="1" fillId="0" borderId="1" xfId="1" applyFont="1" applyBorder="1" applyAlignment="1">
      <alignment horizontal="center" vertical="center"/>
    </xf>
    <xf numFmtId="9" fontId="6" fillId="0" borderId="0" xfId="1" applyFont="1" applyAlignment="1">
      <alignment horizontal="center" vertical="center"/>
    </xf>
    <xf numFmtId="43" fontId="1" fillId="0" borderId="1" xfId="0" applyNumberFormat="1" applyFont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</cellXfs>
  <cellStyles count="3">
    <cellStyle name="Millares" xfId="2" builtinId="3"/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F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C2BD9-DCB4-944D-9EF2-0F5B6D7FB6B8}">
  <dimension ref="A1:X28"/>
  <sheetViews>
    <sheetView tabSelected="1" zoomScale="70" zoomScaleNormal="70" workbookViewId="0">
      <pane xSplit="4" ySplit="3" topLeftCell="E4" activePane="bottomRight" state="frozen"/>
      <selection pane="topRight" activeCell="D1" sqref="D1"/>
      <selection pane="bottomLeft" activeCell="A4" sqref="A4"/>
      <selection pane="bottomRight" activeCell="D25" sqref="D25"/>
    </sheetView>
  </sheetViews>
  <sheetFormatPr baseColWidth="10" defaultColWidth="9.140625" defaultRowHeight="12.75" x14ac:dyDescent="0.25"/>
  <cols>
    <col min="1" max="1" width="7.42578125" style="1" bestFit="1" customWidth="1"/>
    <col min="2" max="3" width="11.42578125" style="1" customWidth="1"/>
    <col min="4" max="4" width="42.85546875" style="1" customWidth="1"/>
    <col min="5" max="6" width="15.7109375" style="1" customWidth="1"/>
    <col min="7" max="7" width="27.85546875" style="1" customWidth="1"/>
    <col min="8" max="18" width="15.7109375" style="1" customWidth="1"/>
    <col min="19" max="19" width="41.140625" style="1" customWidth="1"/>
    <col min="20" max="21" width="17.140625" style="4" customWidth="1"/>
    <col min="22" max="23" width="17.42578125" style="8" customWidth="1"/>
    <col min="24" max="24" width="47" style="1" customWidth="1"/>
    <col min="25" max="16384" width="9.140625" style="1"/>
  </cols>
  <sheetData>
    <row r="1" spans="1:24" ht="30" customHeight="1" thickBot="1" x14ac:dyDescent="0.3">
      <c r="A1" s="34" t="s">
        <v>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6"/>
    </row>
    <row r="3" spans="1:24" ht="135" customHeight="1" x14ac:dyDescent="0.25">
      <c r="A3" s="5" t="s">
        <v>0</v>
      </c>
      <c r="B3" s="5" t="s">
        <v>49</v>
      </c>
      <c r="C3" s="5" t="s">
        <v>50</v>
      </c>
      <c r="D3" s="5" t="s">
        <v>4</v>
      </c>
      <c r="E3" s="5" t="s">
        <v>5</v>
      </c>
      <c r="F3" s="5" t="s">
        <v>6</v>
      </c>
      <c r="G3" s="33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10" t="s">
        <v>19</v>
      </c>
      <c r="T3" s="6" t="s">
        <v>20</v>
      </c>
      <c r="U3" s="6" t="s">
        <v>21</v>
      </c>
      <c r="V3" s="7" t="s">
        <v>22</v>
      </c>
      <c r="W3" s="7" t="s">
        <v>23</v>
      </c>
      <c r="X3" s="5" t="s">
        <v>1</v>
      </c>
    </row>
    <row r="4" spans="1:24" x14ac:dyDescent="0.25">
      <c r="A4" s="2">
        <v>1</v>
      </c>
      <c r="B4" s="2">
        <v>2455491</v>
      </c>
      <c r="C4" s="2">
        <v>311224</v>
      </c>
      <c r="D4" s="11" t="s">
        <v>24</v>
      </c>
      <c r="E4" s="2" t="s">
        <v>2</v>
      </c>
      <c r="F4" s="13"/>
      <c r="G4" s="13"/>
      <c r="H4" s="13">
        <v>245014.47</v>
      </c>
      <c r="I4" s="13">
        <v>245014.47</v>
      </c>
      <c r="J4" s="13">
        <f>+I4/12*3</f>
        <v>61253.617500000008</v>
      </c>
      <c r="K4" s="13"/>
      <c r="L4" s="13">
        <v>344058.55</v>
      </c>
      <c r="M4" s="31">
        <f>+L4</f>
        <v>344058.55</v>
      </c>
      <c r="N4" s="2">
        <f>+M4/2</f>
        <v>172029.27499999999</v>
      </c>
      <c r="O4" s="2"/>
      <c r="P4" s="12"/>
      <c r="Q4" s="2"/>
      <c r="R4" s="2"/>
      <c r="S4" s="2" t="s">
        <v>25</v>
      </c>
      <c r="T4" s="29">
        <v>0</v>
      </c>
      <c r="U4" s="14">
        <v>2024</v>
      </c>
      <c r="V4" s="9">
        <v>45819</v>
      </c>
      <c r="W4" s="9">
        <v>46813</v>
      </c>
      <c r="X4" s="3" t="s">
        <v>26</v>
      </c>
    </row>
    <row r="5" spans="1:24" x14ac:dyDescent="0.25">
      <c r="A5" s="2">
        <v>2</v>
      </c>
      <c r="B5" s="2">
        <v>2465303</v>
      </c>
      <c r="C5" s="2">
        <v>288054</v>
      </c>
      <c r="D5" s="11" t="s">
        <v>27</v>
      </c>
      <c r="E5" s="2" t="s">
        <v>2</v>
      </c>
      <c r="F5" s="13"/>
      <c r="G5" s="13"/>
      <c r="H5" s="13">
        <v>365311.43</v>
      </c>
      <c r="I5" s="13">
        <v>365311.43</v>
      </c>
      <c r="J5" s="13">
        <f>+I5/12*3</f>
        <v>91327.857499999998</v>
      </c>
      <c r="K5" s="13"/>
      <c r="L5" s="13">
        <v>469471.54</v>
      </c>
      <c r="M5" s="32">
        <f>+L5</f>
        <v>469471.54</v>
      </c>
      <c r="N5" s="2">
        <f>+M5/2</f>
        <v>234735.77</v>
      </c>
      <c r="O5" s="2"/>
      <c r="P5" s="12"/>
      <c r="Q5" s="2"/>
      <c r="R5" s="2"/>
      <c r="S5" s="2" t="s">
        <v>25</v>
      </c>
      <c r="T5" s="29">
        <v>0</v>
      </c>
      <c r="U5" s="14">
        <v>2024</v>
      </c>
      <c r="V5" s="9">
        <v>45819</v>
      </c>
      <c r="W5" s="9">
        <v>46813</v>
      </c>
      <c r="X5" s="3" t="s">
        <v>26</v>
      </c>
    </row>
    <row r="6" spans="1:24" x14ac:dyDescent="0.25">
      <c r="A6" s="2">
        <v>3</v>
      </c>
      <c r="B6" s="2">
        <v>2475493</v>
      </c>
      <c r="C6" s="2">
        <v>304860</v>
      </c>
      <c r="D6" s="11" t="s">
        <v>28</v>
      </c>
      <c r="E6" s="2" t="s">
        <v>2</v>
      </c>
      <c r="F6" s="13"/>
      <c r="G6" s="13"/>
      <c r="H6" s="13">
        <v>405598.37</v>
      </c>
      <c r="I6" s="13">
        <v>405598.37</v>
      </c>
      <c r="J6" s="13">
        <f>+I6/12*3</f>
        <v>101399.5925</v>
      </c>
      <c r="K6" s="13"/>
      <c r="L6" s="13">
        <v>511471.81</v>
      </c>
      <c r="M6" s="32">
        <f>+L6</f>
        <v>511471.81</v>
      </c>
      <c r="N6" s="2">
        <f>+M6/2</f>
        <v>255735.905</v>
      </c>
      <c r="O6" s="2"/>
      <c r="P6" s="12"/>
      <c r="Q6" s="2"/>
      <c r="R6" s="2"/>
      <c r="S6" s="2" t="s">
        <v>25</v>
      </c>
      <c r="T6" s="29">
        <v>0</v>
      </c>
      <c r="U6" s="14">
        <v>2024</v>
      </c>
      <c r="V6" s="9">
        <v>45819</v>
      </c>
      <c r="W6" s="9">
        <v>46813</v>
      </c>
      <c r="X6" s="3" t="s">
        <v>26</v>
      </c>
    </row>
    <row r="7" spans="1:24" x14ac:dyDescent="0.25">
      <c r="A7" s="2">
        <v>4</v>
      </c>
      <c r="B7" s="2">
        <v>2488285</v>
      </c>
      <c r="C7" s="2">
        <v>301913</v>
      </c>
      <c r="D7" s="11" t="s">
        <v>29</v>
      </c>
      <c r="E7" s="2" t="s">
        <v>2</v>
      </c>
      <c r="F7" s="13"/>
      <c r="G7" s="13"/>
      <c r="H7" s="13">
        <v>438373.19</v>
      </c>
      <c r="I7" s="13">
        <v>438373.19</v>
      </c>
      <c r="J7" s="13">
        <f>+I7/12*3</f>
        <v>109593.2975</v>
      </c>
      <c r="K7" s="13"/>
      <c r="L7" s="13">
        <v>634264.53</v>
      </c>
      <c r="M7" s="32">
        <f>+L7</f>
        <v>634264.53</v>
      </c>
      <c r="N7" s="2">
        <f>+M7/2</f>
        <v>317132.26500000001</v>
      </c>
      <c r="O7" s="2"/>
      <c r="P7" s="12"/>
      <c r="Q7" s="2"/>
      <c r="R7" s="2"/>
      <c r="S7" s="2" t="s">
        <v>25</v>
      </c>
      <c r="T7" s="29">
        <v>0</v>
      </c>
      <c r="U7" s="14">
        <v>2024</v>
      </c>
      <c r="V7" s="9">
        <v>45819</v>
      </c>
      <c r="W7" s="9">
        <v>46813</v>
      </c>
      <c r="X7" s="3" t="s">
        <v>26</v>
      </c>
    </row>
    <row r="8" spans="1:24" x14ac:dyDescent="0.25">
      <c r="A8" s="2">
        <v>16</v>
      </c>
      <c r="B8" s="18">
        <v>2457878</v>
      </c>
      <c r="C8" s="2">
        <v>291792</v>
      </c>
      <c r="D8" s="11" t="s">
        <v>30</v>
      </c>
      <c r="E8" s="2" t="s">
        <v>2</v>
      </c>
      <c r="F8" s="12"/>
      <c r="G8" s="13"/>
      <c r="H8" s="21">
        <v>443448.39</v>
      </c>
      <c r="I8" s="13">
        <v>443448.39</v>
      </c>
      <c r="J8" s="13">
        <f t="shared" ref="J8:J15" si="0">+I8/12*3</f>
        <v>110862.0975</v>
      </c>
      <c r="K8" s="13"/>
      <c r="L8" s="13">
        <v>516568.69</v>
      </c>
      <c r="M8" s="32">
        <f t="shared" ref="M8:M15" si="1">+L8</f>
        <v>516568.69</v>
      </c>
      <c r="N8" s="2">
        <f t="shared" ref="N8:N15" si="2">+M8/2</f>
        <v>258284.345</v>
      </c>
      <c r="O8" s="2"/>
      <c r="P8" s="12"/>
      <c r="Q8" s="2"/>
      <c r="R8" s="2"/>
      <c r="S8" s="2" t="s">
        <v>25</v>
      </c>
      <c r="T8" s="29">
        <v>0</v>
      </c>
      <c r="U8" s="14">
        <v>2025</v>
      </c>
      <c r="V8" s="9">
        <v>46032</v>
      </c>
      <c r="W8" s="9">
        <v>46813</v>
      </c>
      <c r="X8" s="3" t="s">
        <v>26</v>
      </c>
    </row>
    <row r="9" spans="1:24" x14ac:dyDescent="0.25">
      <c r="A9" s="2">
        <v>17</v>
      </c>
      <c r="B9" s="18">
        <v>2461341</v>
      </c>
      <c r="C9" s="2">
        <v>292490</v>
      </c>
      <c r="D9" s="11" t="s">
        <v>31</v>
      </c>
      <c r="E9" s="2" t="s">
        <v>2</v>
      </c>
      <c r="F9" s="12"/>
      <c r="G9" s="13"/>
      <c r="H9" s="21">
        <v>386946.03</v>
      </c>
      <c r="I9" s="13">
        <v>386946.03</v>
      </c>
      <c r="J9" s="13">
        <f t="shared" si="0"/>
        <v>96736.507500000007</v>
      </c>
      <c r="K9" s="13"/>
      <c r="L9" s="13">
        <v>620446.98</v>
      </c>
      <c r="M9" s="32">
        <f t="shared" si="1"/>
        <v>620446.98</v>
      </c>
      <c r="N9" s="2">
        <f t="shared" si="2"/>
        <v>310223.49</v>
      </c>
      <c r="O9" s="2"/>
      <c r="P9" s="12"/>
      <c r="Q9" s="2"/>
      <c r="R9" s="2"/>
      <c r="S9" s="2" t="s">
        <v>25</v>
      </c>
      <c r="T9" s="29">
        <v>0</v>
      </c>
      <c r="U9" s="14">
        <v>2025</v>
      </c>
      <c r="V9" s="9">
        <v>46032</v>
      </c>
      <c r="W9" s="9">
        <v>46813</v>
      </c>
      <c r="X9" s="3" t="s">
        <v>26</v>
      </c>
    </row>
    <row r="10" spans="1:24" x14ac:dyDescent="0.25">
      <c r="A10" s="2">
        <v>18</v>
      </c>
      <c r="B10" s="18">
        <v>2468688</v>
      </c>
      <c r="C10" s="2">
        <v>292126</v>
      </c>
      <c r="D10" s="11" t="s">
        <v>32</v>
      </c>
      <c r="E10" s="2" t="s">
        <v>2</v>
      </c>
      <c r="F10" s="12"/>
      <c r="G10" s="13"/>
      <c r="H10" s="21">
        <v>925947.16</v>
      </c>
      <c r="I10" s="13">
        <v>925947.16</v>
      </c>
      <c r="J10" s="13">
        <f t="shared" si="0"/>
        <v>231486.79</v>
      </c>
      <c r="K10" s="13"/>
      <c r="L10" s="13">
        <v>1453676.9</v>
      </c>
      <c r="M10" s="32">
        <f t="shared" si="1"/>
        <v>1453676.9</v>
      </c>
      <c r="N10" s="2">
        <f t="shared" si="2"/>
        <v>726838.45</v>
      </c>
      <c r="O10" s="2"/>
      <c r="P10" s="2"/>
      <c r="Q10" s="2"/>
      <c r="R10" s="2"/>
      <c r="S10" s="2" t="s">
        <v>25</v>
      </c>
      <c r="T10" s="29">
        <v>0</v>
      </c>
      <c r="U10" s="14">
        <v>2025</v>
      </c>
      <c r="V10" s="9">
        <v>46032</v>
      </c>
      <c r="W10" s="9">
        <v>46813</v>
      </c>
      <c r="X10" s="3" t="s">
        <v>26</v>
      </c>
    </row>
    <row r="11" spans="1:24" x14ac:dyDescent="0.25">
      <c r="A11" s="2">
        <v>19</v>
      </c>
      <c r="B11" s="18">
        <v>2485212</v>
      </c>
      <c r="C11" s="2">
        <v>292254</v>
      </c>
      <c r="D11" s="11" t="s">
        <v>33</v>
      </c>
      <c r="E11" s="2" t="s">
        <v>2</v>
      </c>
      <c r="F11" s="12"/>
      <c r="G11" s="13"/>
      <c r="H11" s="21">
        <v>527451.5</v>
      </c>
      <c r="I11" s="13">
        <v>527451.5</v>
      </c>
      <c r="J11" s="13">
        <f t="shared" si="0"/>
        <v>131862.875</v>
      </c>
      <c r="K11" s="13"/>
      <c r="L11" s="13">
        <v>929711.5</v>
      </c>
      <c r="M11" s="32">
        <f t="shared" si="1"/>
        <v>929711.5</v>
      </c>
      <c r="N11" s="2">
        <f t="shared" si="2"/>
        <v>464855.75</v>
      </c>
      <c r="O11" s="2"/>
      <c r="P11" s="2"/>
      <c r="Q11" s="2"/>
      <c r="R11" s="2"/>
      <c r="S11" s="2" t="s">
        <v>25</v>
      </c>
      <c r="T11" s="29">
        <v>0</v>
      </c>
      <c r="U11" s="14">
        <v>2025</v>
      </c>
      <c r="V11" s="9">
        <v>46032</v>
      </c>
      <c r="W11" s="9">
        <v>46813</v>
      </c>
      <c r="X11" s="3" t="s">
        <v>26</v>
      </c>
    </row>
    <row r="12" spans="1:24" x14ac:dyDescent="0.25">
      <c r="A12" s="2">
        <v>20</v>
      </c>
      <c r="B12" s="18">
        <v>2475706</v>
      </c>
      <c r="C12" s="2">
        <v>313591</v>
      </c>
      <c r="D12" s="11" t="s">
        <v>34</v>
      </c>
      <c r="E12" s="2" t="s">
        <v>2</v>
      </c>
      <c r="F12" s="12"/>
      <c r="G12" s="13"/>
      <c r="H12" s="21">
        <v>551198.48</v>
      </c>
      <c r="I12" s="13">
        <v>551198.48</v>
      </c>
      <c r="J12" s="13">
        <f t="shared" si="0"/>
        <v>137799.62</v>
      </c>
      <c r="K12" s="13"/>
      <c r="L12" s="13">
        <v>683162.4</v>
      </c>
      <c r="M12" s="32">
        <f t="shared" si="1"/>
        <v>683162.4</v>
      </c>
      <c r="N12" s="2">
        <f t="shared" si="2"/>
        <v>341581.2</v>
      </c>
      <c r="O12" s="2"/>
      <c r="P12" s="2"/>
      <c r="Q12" s="2"/>
      <c r="R12" s="2"/>
      <c r="S12" s="2" t="s">
        <v>25</v>
      </c>
      <c r="T12" s="29">
        <v>0</v>
      </c>
      <c r="U12" s="14">
        <v>2025</v>
      </c>
      <c r="V12" s="9">
        <v>46032</v>
      </c>
      <c r="W12" s="9">
        <v>46813</v>
      </c>
      <c r="X12" s="3" t="s">
        <v>26</v>
      </c>
    </row>
    <row r="13" spans="1:24" x14ac:dyDescent="0.25">
      <c r="A13" s="2">
        <v>21</v>
      </c>
      <c r="B13" s="18">
        <v>2475674</v>
      </c>
      <c r="C13" s="2">
        <v>311083</v>
      </c>
      <c r="D13" s="11" t="s">
        <v>35</v>
      </c>
      <c r="E13" s="2" t="s">
        <v>2</v>
      </c>
      <c r="F13" s="12"/>
      <c r="G13" s="13"/>
      <c r="H13" s="21">
        <v>486713.03</v>
      </c>
      <c r="I13" s="13">
        <v>486713.03</v>
      </c>
      <c r="J13" s="13">
        <f t="shared" si="0"/>
        <v>121678.25750000001</v>
      </c>
      <c r="K13" s="13"/>
      <c r="L13" s="13">
        <v>561673.29</v>
      </c>
      <c r="M13" s="32">
        <f t="shared" si="1"/>
        <v>561673.29</v>
      </c>
      <c r="N13" s="2">
        <f t="shared" si="2"/>
        <v>280836.64500000002</v>
      </c>
      <c r="O13" s="2"/>
      <c r="P13" s="2"/>
      <c r="Q13" s="2"/>
      <c r="R13" s="2"/>
      <c r="S13" s="2" t="s">
        <v>25</v>
      </c>
      <c r="T13" s="29">
        <v>0</v>
      </c>
      <c r="U13" s="14">
        <v>2025</v>
      </c>
      <c r="V13" s="9">
        <v>46032</v>
      </c>
      <c r="W13" s="9">
        <v>46813</v>
      </c>
      <c r="X13" s="3" t="s">
        <v>26</v>
      </c>
    </row>
    <row r="14" spans="1:24" x14ac:dyDescent="0.25">
      <c r="A14" s="2">
        <v>22</v>
      </c>
      <c r="B14" s="18">
        <v>2481449</v>
      </c>
      <c r="C14" s="2">
        <v>292598</v>
      </c>
      <c r="D14" s="11" t="s">
        <v>36</v>
      </c>
      <c r="E14" s="2" t="s">
        <v>2</v>
      </c>
      <c r="F14" s="12"/>
      <c r="G14" s="13"/>
      <c r="H14" s="21">
        <v>626924.48</v>
      </c>
      <c r="I14" s="13">
        <v>626924.48</v>
      </c>
      <c r="J14" s="13">
        <f t="shared" si="0"/>
        <v>156731.12</v>
      </c>
      <c r="K14" s="13"/>
      <c r="L14" s="13">
        <v>762108.89</v>
      </c>
      <c r="M14" s="32">
        <f t="shared" si="1"/>
        <v>762108.89</v>
      </c>
      <c r="N14" s="2">
        <f t="shared" si="2"/>
        <v>381054.44500000001</v>
      </c>
      <c r="O14" s="2"/>
      <c r="P14" s="2"/>
      <c r="Q14" s="2"/>
      <c r="R14" s="2"/>
      <c r="S14" s="2" t="s">
        <v>25</v>
      </c>
      <c r="T14" s="29">
        <v>0</v>
      </c>
      <c r="U14" s="14">
        <v>2025</v>
      </c>
      <c r="V14" s="9">
        <v>46032</v>
      </c>
      <c r="W14" s="9">
        <v>46813</v>
      </c>
      <c r="X14" s="3" t="s">
        <v>26</v>
      </c>
    </row>
    <row r="15" spans="1:24" x14ac:dyDescent="0.25">
      <c r="A15" s="2">
        <v>23</v>
      </c>
      <c r="B15" s="18">
        <v>2485617</v>
      </c>
      <c r="C15" s="2">
        <v>292268</v>
      </c>
      <c r="D15" s="11" t="s">
        <v>37</v>
      </c>
      <c r="E15" s="2" t="s">
        <v>2</v>
      </c>
      <c r="F15" s="12"/>
      <c r="G15" s="13"/>
      <c r="H15" s="21">
        <v>181556.8</v>
      </c>
      <c r="I15" s="13">
        <v>181556.8</v>
      </c>
      <c r="J15" s="13">
        <f t="shared" si="0"/>
        <v>45389.2</v>
      </c>
      <c r="K15" s="13"/>
      <c r="L15" s="13">
        <v>189278.1</v>
      </c>
      <c r="M15" s="32">
        <f t="shared" si="1"/>
        <v>189278.1</v>
      </c>
      <c r="N15" s="2">
        <f t="shared" si="2"/>
        <v>94639.05</v>
      </c>
      <c r="O15" s="2"/>
      <c r="P15" s="2"/>
      <c r="Q15" s="2"/>
      <c r="R15" s="2"/>
      <c r="S15" s="2" t="s">
        <v>25</v>
      </c>
      <c r="T15" s="29">
        <v>0</v>
      </c>
      <c r="U15" s="14">
        <v>2025</v>
      </c>
      <c r="V15" s="9">
        <v>46032</v>
      </c>
      <c r="W15" s="9">
        <v>46813</v>
      </c>
      <c r="X15" s="3" t="s">
        <v>26</v>
      </c>
    </row>
    <row r="16" spans="1:24" x14ac:dyDescent="0.25">
      <c r="A16" s="2">
        <v>5</v>
      </c>
      <c r="B16" s="2">
        <v>2471210</v>
      </c>
      <c r="C16" s="2">
        <v>307458</v>
      </c>
      <c r="D16" s="11" t="s">
        <v>38</v>
      </c>
      <c r="E16" s="2" t="s">
        <v>2</v>
      </c>
      <c r="F16" s="12"/>
      <c r="G16" s="13"/>
      <c r="H16" s="13">
        <v>483836.3</v>
      </c>
      <c r="I16" s="13">
        <v>483836.3</v>
      </c>
      <c r="J16" s="13">
        <f t="shared" ref="J16:J26" si="3">+I16/12*3</f>
        <v>120959.075</v>
      </c>
      <c r="K16" s="13"/>
      <c r="L16" s="13">
        <v>721457.82</v>
      </c>
      <c r="M16" s="32">
        <f t="shared" ref="M16:M26" si="4">+L16</f>
        <v>721457.82</v>
      </c>
      <c r="N16" s="2">
        <f t="shared" ref="N16:N26" si="5">+M16/2</f>
        <v>360728.91</v>
      </c>
      <c r="O16" s="2"/>
      <c r="P16" s="12"/>
      <c r="Q16" s="2"/>
      <c r="R16" s="2"/>
      <c r="S16" s="2" t="s">
        <v>25</v>
      </c>
      <c r="T16" s="29">
        <v>0</v>
      </c>
      <c r="U16" s="14">
        <v>2024</v>
      </c>
      <c r="V16" s="9">
        <v>45853</v>
      </c>
      <c r="W16" s="9">
        <v>46813</v>
      </c>
      <c r="X16" s="3" t="s">
        <v>26</v>
      </c>
    </row>
    <row r="17" spans="1:24" x14ac:dyDescent="0.25">
      <c r="A17" s="2">
        <v>6</v>
      </c>
      <c r="B17" s="2">
        <v>2485468</v>
      </c>
      <c r="C17" s="2">
        <v>298816</v>
      </c>
      <c r="D17" s="11" t="s">
        <v>39</v>
      </c>
      <c r="E17" s="2" t="s">
        <v>2</v>
      </c>
      <c r="F17" s="12"/>
      <c r="G17" s="13"/>
      <c r="H17" s="13">
        <v>448674.75</v>
      </c>
      <c r="I17" s="13">
        <v>448674.75</v>
      </c>
      <c r="J17" s="13">
        <f t="shared" si="3"/>
        <v>112168.6875</v>
      </c>
      <c r="K17" s="13"/>
      <c r="L17" s="13">
        <v>576278.51</v>
      </c>
      <c r="M17" s="32">
        <f t="shared" si="4"/>
        <v>576278.51</v>
      </c>
      <c r="N17" s="2">
        <f t="shared" si="5"/>
        <v>288139.255</v>
      </c>
      <c r="O17" s="2"/>
      <c r="P17" s="12"/>
      <c r="Q17" s="2"/>
      <c r="R17" s="2"/>
      <c r="S17" s="2" t="s">
        <v>25</v>
      </c>
      <c r="T17" s="29">
        <v>0</v>
      </c>
      <c r="U17" s="14">
        <v>2024</v>
      </c>
      <c r="V17" s="9">
        <v>45853</v>
      </c>
      <c r="W17" s="9">
        <v>46813</v>
      </c>
      <c r="X17" s="3" t="s">
        <v>26</v>
      </c>
    </row>
    <row r="18" spans="1:24" x14ac:dyDescent="0.25">
      <c r="A18" s="2">
        <v>7</v>
      </c>
      <c r="B18" s="2">
        <v>2463380</v>
      </c>
      <c r="C18" s="2">
        <v>332165</v>
      </c>
      <c r="D18" s="11" t="s">
        <v>40</v>
      </c>
      <c r="E18" s="2" t="s">
        <v>2</v>
      </c>
      <c r="F18" s="12"/>
      <c r="G18" s="13"/>
      <c r="H18" s="13">
        <v>472631.57</v>
      </c>
      <c r="I18" s="13">
        <v>472631.57</v>
      </c>
      <c r="J18" s="13">
        <f t="shared" si="3"/>
        <v>118157.89249999999</v>
      </c>
      <c r="K18" s="13"/>
      <c r="L18" s="13">
        <v>492731.78</v>
      </c>
      <c r="M18" s="32">
        <f t="shared" si="4"/>
        <v>492731.78</v>
      </c>
      <c r="N18" s="2">
        <f t="shared" si="5"/>
        <v>246365.89</v>
      </c>
      <c r="O18" s="2"/>
      <c r="P18" s="12"/>
      <c r="Q18" s="2"/>
      <c r="R18" s="2"/>
      <c r="S18" s="2" t="s">
        <v>25</v>
      </c>
      <c r="T18" s="29">
        <v>0</v>
      </c>
      <c r="U18" s="14">
        <v>2024</v>
      </c>
      <c r="V18" s="9">
        <v>45853</v>
      </c>
      <c r="W18" s="9">
        <v>46813</v>
      </c>
      <c r="X18" s="3" t="s">
        <v>26</v>
      </c>
    </row>
    <row r="19" spans="1:24" x14ac:dyDescent="0.25">
      <c r="A19" s="2">
        <v>8</v>
      </c>
      <c r="B19" s="2">
        <v>2475656</v>
      </c>
      <c r="C19" s="2">
        <v>338855</v>
      </c>
      <c r="D19" s="19" t="s">
        <v>41</v>
      </c>
      <c r="E19" s="15" t="s">
        <v>2</v>
      </c>
      <c r="F19" s="16"/>
      <c r="G19" s="20"/>
      <c r="H19" s="13">
        <v>369766.7</v>
      </c>
      <c r="I19" s="13">
        <v>369766.7</v>
      </c>
      <c r="J19" s="13">
        <f t="shared" si="3"/>
        <v>92441.675000000003</v>
      </c>
      <c r="K19" s="13"/>
      <c r="L19" s="13">
        <v>439753.44</v>
      </c>
      <c r="M19" s="32">
        <f t="shared" si="4"/>
        <v>439753.44</v>
      </c>
      <c r="N19" s="2">
        <f t="shared" si="5"/>
        <v>219876.72</v>
      </c>
      <c r="O19" s="2"/>
      <c r="P19" s="12"/>
      <c r="Q19" s="2"/>
      <c r="R19" s="2"/>
      <c r="S19" s="2" t="s">
        <v>25</v>
      </c>
      <c r="T19" s="29">
        <v>0</v>
      </c>
      <c r="U19" s="14">
        <v>2024</v>
      </c>
      <c r="V19" s="9">
        <v>45853</v>
      </c>
      <c r="W19" s="9">
        <v>46813</v>
      </c>
      <c r="X19" s="3" t="s">
        <v>26</v>
      </c>
    </row>
    <row r="20" spans="1:24" x14ac:dyDescent="0.25">
      <c r="A20" s="2">
        <v>9</v>
      </c>
      <c r="B20" s="18">
        <v>2462240</v>
      </c>
      <c r="C20" s="2">
        <v>329889</v>
      </c>
      <c r="D20" s="11" t="s">
        <v>42</v>
      </c>
      <c r="E20" s="2" t="s">
        <v>2</v>
      </c>
      <c r="F20" s="12"/>
      <c r="G20" s="13"/>
      <c r="H20" s="21">
        <v>467638.29</v>
      </c>
      <c r="I20" s="13">
        <v>467638.29</v>
      </c>
      <c r="J20" s="13">
        <f t="shared" si="3"/>
        <v>116909.57249999999</v>
      </c>
      <c r="K20" s="13"/>
      <c r="L20" s="13">
        <v>650309.74</v>
      </c>
      <c r="M20" s="32">
        <f t="shared" si="4"/>
        <v>650309.74</v>
      </c>
      <c r="N20" s="2">
        <f t="shared" si="5"/>
        <v>325154.87</v>
      </c>
      <c r="O20" s="2"/>
      <c r="P20" s="12"/>
      <c r="Q20" s="2"/>
      <c r="R20" s="2"/>
      <c r="S20" s="2" t="s">
        <v>25</v>
      </c>
      <c r="T20" s="29">
        <v>0</v>
      </c>
      <c r="U20" s="14">
        <v>2024</v>
      </c>
      <c r="V20" s="9">
        <v>45853</v>
      </c>
      <c r="W20" s="9">
        <v>46813</v>
      </c>
      <c r="X20" s="3" t="s">
        <v>26</v>
      </c>
    </row>
    <row r="21" spans="1:24" x14ac:dyDescent="0.25">
      <c r="A21" s="2">
        <v>10</v>
      </c>
      <c r="B21" s="18">
        <v>2485549</v>
      </c>
      <c r="C21" s="2">
        <v>340231</v>
      </c>
      <c r="D21" s="11" t="s">
        <v>43</v>
      </c>
      <c r="E21" s="2" t="s">
        <v>2</v>
      </c>
      <c r="F21" s="12"/>
      <c r="G21" s="13"/>
      <c r="H21" s="21">
        <v>523736.69</v>
      </c>
      <c r="I21" s="13">
        <v>523736.69</v>
      </c>
      <c r="J21" s="13">
        <f t="shared" si="3"/>
        <v>130934.1725</v>
      </c>
      <c r="K21" s="13"/>
      <c r="L21" s="13">
        <v>654532.71</v>
      </c>
      <c r="M21" s="32">
        <f t="shared" si="4"/>
        <v>654532.71</v>
      </c>
      <c r="N21" s="2">
        <f t="shared" si="5"/>
        <v>327266.35499999998</v>
      </c>
      <c r="O21" s="2"/>
      <c r="P21" s="12"/>
      <c r="Q21" s="2"/>
      <c r="R21" s="2"/>
      <c r="S21" s="2" t="s">
        <v>25</v>
      </c>
      <c r="T21" s="29">
        <v>0</v>
      </c>
      <c r="U21" s="14">
        <v>2024</v>
      </c>
      <c r="V21" s="9">
        <v>45853</v>
      </c>
      <c r="W21" s="9">
        <v>46813</v>
      </c>
      <c r="X21" s="3" t="s">
        <v>26</v>
      </c>
    </row>
    <row r="22" spans="1:24" x14ac:dyDescent="0.25">
      <c r="A22" s="2">
        <v>11</v>
      </c>
      <c r="B22" s="18">
        <v>2482927</v>
      </c>
      <c r="C22" s="2">
        <v>340189</v>
      </c>
      <c r="D22" s="11" t="s">
        <v>44</v>
      </c>
      <c r="E22" s="2" t="s">
        <v>2</v>
      </c>
      <c r="F22" s="12"/>
      <c r="G22" s="13"/>
      <c r="H22" s="21">
        <v>512259.31</v>
      </c>
      <c r="I22" s="13">
        <v>512259.31</v>
      </c>
      <c r="J22" s="13">
        <f t="shared" si="3"/>
        <v>128064.8275</v>
      </c>
      <c r="K22" s="13"/>
      <c r="L22" s="13">
        <v>642567.21</v>
      </c>
      <c r="M22" s="32">
        <f t="shared" si="4"/>
        <v>642567.21</v>
      </c>
      <c r="N22" s="2">
        <f t="shared" si="5"/>
        <v>321283.60499999998</v>
      </c>
      <c r="O22" s="2"/>
      <c r="P22" s="12"/>
      <c r="Q22" s="2"/>
      <c r="R22" s="2"/>
      <c r="S22" s="2" t="s">
        <v>25</v>
      </c>
      <c r="T22" s="29">
        <v>0</v>
      </c>
      <c r="U22" s="14">
        <v>2024</v>
      </c>
      <c r="V22" s="9">
        <v>45853</v>
      </c>
      <c r="W22" s="9">
        <v>46813</v>
      </c>
      <c r="X22" s="3" t="s">
        <v>26</v>
      </c>
    </row>
    <row r="23" spans="1:24" x14ac:dyDescent="0.25">
      <c r="A23" s="2">
        <v>12</v>
      </c>
      <c r="B23" s="18">
        <v>2459714</v>
      </c>
      <c r="C23" s="2">
        <v>329974</v>
      </c>
      <c r="D23" s="11" t="s">
        <v>45</v>
      </c>
      <c r="E23" s="2" t="s">
        <v>2</v>
      </c>
      <c r="F23" s="12"/>
      <c r="G23" s="13"/>
      <c r="H23" s="21">
        <v>669200.89</v>
      </c>
      <c r="I23" s="13">
        <v>669200.89</v>
      </c>
      <c r="J23" s="13">
        <f t="shared" si="3"/>
        <v>167300.2225</v>
      </c>
      <c r="K23" s="13"/>
      <c r="L23" s="13">
        <v>1131750.45</v>
      </c>
      <c r="M23" s="32">
        <f t="shared" si="4"/>
        <v>1131750.45</v>
      </c>
      <c r="N23" s="2">
        <f t="shared" si="5"/>
        <v>565875.22499999998</v>
      </c>
      <c r="O23" s="2"/>
      <c r="P23" s="12"/>
      <c r="Q23" s="2"/>
      <c r="R23" s="2"/>
      <c r="S23" s="2" t="s">
        <v>25</v>
      </c>
      <c r="T23" s="29">
        <v>0</v>
      </c>
      <c r="U23" s="14">
        <v>2024</v>
      </c>
      <c r="V23" s="9">
        <v>45853</v>
      </c>
      <c r="W23" s="9">
        <v>46813</v>
      </c>
      <c r="X23" s="3" t="s">
        <v>26</v>
      </c>
    </row>
    <row r="24" spans="1:24" x14ac:dyDescent="0.25">
      <c r="A24" s="2">
        <v>13</v>
      </c>
      <c r="B24" s="18">
        <v>2468576</v>
      </c>
      <c r="C24" s="2">
        <v>320600</v>
      </c>
      <c r="D24" s="11" t="s">
        <v>46</v>
      </c>
      <c r="E24" s="2" t="s">
        <v>2</v>
      </c>
      <c r="F24" s="12"/>
      <c r="G24" s="13"/>
      <c r="H24" s="21">
        <v>409693.48</v>
      </c>
      <c r="I24" s="13">
        <v>409693.48</v>
      </c>
      <c r="J24" s="13">
        <f t="shared" si="3"/>
        <v>102423.37</v>
      </c>
      <c r="K24" s="13"/>
      <c r="L24" s="13">
        <v>427117.04</v>
      </c>
      <c r="M24" s="32">
        <f t="shared" si="4"/>
        <v>427117.04</v>
      </c>
      <c r="N24" s="2">
        <f t="shared" si="5"/>
        <v>213558.52</v>
      </c>
      <c r="O24" s="2"/>
      <c r="P24" s="12"/>
      <c r="Q24" s="2"/>
      <c r="R24" s="2"/>
      <c r="S24" s="2" t="s">
        <v>25</v>
      </c>
      <c r="T24" s="29">
        <v>0</v>
      </c>
      <c r="U24" s="14">
        <v>2024</v>
      </c>
      <c r="V24" s="9">
        <v>45853</v>
      </c>
      <c r="W24" s="9">
        <v>46813</v>
      </c>
      <c r="X24" s="3" t="s">
        <v>26</v>
      </c>
    </row>
    <row r="25" spans="1:24" x14ac:dyDescent="0.25">
      <c r="A25" s="2">
        <v>14</v>
      </c>
      <c r="B25" s="18">
        <v>2488279</v>
      </c>
      <c r="C25" s="2">
        <v>287988</v>
      </c>
      <c r="D25" s="11" t="s">
        <v>47</v>
      </c>
      <c r="E25" s="2" t="s">
        <v>2</v>
      </c>
      <c r="F25" s="12"/>
      <c r="G25" s="13"/>
      <c r="H25" s="21">
        <v>353857.06</v>
      </c>
      <c r="I25" s="13">
        <v>353857.06</v>
      </c>
      <c r="J25" s="13">
        <f t="shared" si="3"/>
        <v>88464.264999999999</v>
      </c>
      <c r="K25" s="13"/>
      <c r="L25" s="13">
        <v>423167.19</v>
      </c>
      <c r="M25" s="32">
        <f t="shared" si="4"/>
        <v>423167.19</v>
      </c>
      <c r="N25" s="2">
        <f t="shared" si="5"/>
        <v>211583.595</v>
      </c>
      <c r="O25" s="2"/>
      <c r="P25" s="12"/>
      <c r="Q25" s="2"/>
      <c r="R25" s="2"/>
      <c r="S25" s="2" t="s">
        <v>25</v>
      </c>
      <c r="T25" s="29">
        <v>0</v>
      </c>
      <c r="U25" s="14">
        <v>2024</v>
      </c>
      <c r="V25" s="9">
        <v>45853</v>
      </c>
      <c r="W25" s="9">
        <v>46813</v>
      </c>
      <c r="X25" s="3" t="s">
        <v>26</v>
      </c>
    </row>
    <row r="26" spans="1:24" x14ac:dyDescent="0.25">
      <c r="A26" s="2">
        <v>15</v>
      </c>
      <c r="B26" s="18">
        <v>2487949</v>
      </c>
      <c r="C26" s="2">
        <v>308783</v>
      </c>
      <c r="D26" s="11" t="s">
        <v>48</v>
      </c>
      <c r="E26" s="2" t="s">
        <v>2</v>
      </c>
      <c r="F26" s="12"/>
      <c r="G26" s="13"/>
      <c r="H26" s="21">
        <v>337397.07</v>
      </c>
      <c r="I26" s="13">
        <v>337397.07</v>
      </c>
      <c r="J26" s="13">
        <f t="shared" si="3"/>
        <v>84349.267500000002</v>
      </c>
      <c r="K26" s="13"/>
      <c r="L26" s="13">
        <v>406007.18</v>
      </c>
      <c r="M26" s="32">
        <f t="shared" si="4"/>
        <v>406007.18</v>
      </c>
      <c r="N26" s="2">
        <f t="shared" si="5"/>
        <v>203003.59</v>
      </c>
      <c r="O26" s="2"/>
      <c r="P26" s="12"/>
      <c r="Q26" s="2"/>
      <c r="R26" s="2"/>
      <c r="S26" s="2" t="s">
        <v>25</v>
      </c>
      <c r="T26" s="29">
        <v>0</v>
      </c>
      <c r="U26" s="14">
        <v>2024</v>
      </c>
      <c r="V26" s="9">
        <v>45853</v>
      </c>
      <c r="W26" s="9">
        <v>46813</v>
      </c>
      <c r="X26" s="3" t="s">
        <v>26</v>
      </c>
    </row>
    <row r="27" spans="1:24" s="22" customFormat="1" x14ac:dyDescent="0.25">
      <c r="F27" s="23"/>
      <c r="G27" s="24"/>
      <c r="H27" s="24"/>
      <c r="I27" s="24"/>
      <c r="J27" s="24"/>
      <c r="K27" s="24"/>
      <c r="L27" s="24"/>
      <c r="M27" s="24"/>
      <c r="N27" s="28"/>
      <c r="O27" s="28"/>
      <c r="P27" s="28"/>
      <c r="Q27" s="28"/>
      <c r="R27" s="28"/>
      <c r="T27" s="30"/>
      <c r="U27" s="25"/>
      <c r="V27" s="26"/>
      <c r="W27" s="26"/>
    </row>
    <row r="28" spans="1:24" x14ac:dyDescent="0.25">
      <c r="F28" s="17"/>
      <c r="N28" s="27"/>
      <c r="O28" s="27"/>
      <c r="P28" s="27"/>
    </row>
  </sheetData>
  <mergeCells count="1">
    <mergeCell ref="A1:X1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ntregable2 xmlns="c9769570-734c-41a4-b587-937bc0e11db2" xsi:nil="true"/>
    <Paquete xmlns="c9769570-734c-41a4-b587-937bc0e11db2" xsi:nil="true"/>
    <Responsable xmlns="c9769570-734c-41a4-b587-937bc0e11db2" xsi:nil="true"/>
    <Entregable xmlns="c9769570-734c-41a4-b587-937bc0e11db2" xsi:nil="true"/>
    <TaxCatchAll xmlns="e2430303-d052-4e59-942b-9dcb77981c99" xsi:nil="true"/>
    <Descripcion xmlns="c9769570-734c-41a4-b587-937bc0e11db2" xsi:nil="true"/>
    <lcf76f155ced4ddcb4097134ff3c332f xmlns="c9769570-734c-41a4-b587-937bc0e11db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BE87ED011AC1342B3E5DA2BCE9C9CEF" ma:contentTypeVersion="30" ma:contentTypeDescription="Crear nuevo documento." ma:contentTypeScope="" ma:versionID="2233b18e314ad3ad7039eb2c4d8e09fc">
  <xsd:schema xmlns:xsd="http://www.w3.org/2001/XMLSchema" xmlns:xs="http://www.w3.org/2001/XMLSchema" xmlns:p="http://schemas.microsoft.com/office/2006/metadata/properties" xmlns:ns2="e2430303-d052-4e59-942b-9dcb77981c99" xmlns:ns3="c9769570-734c-41a4-b587-937bc0e11db2" targetNamespace="http://schemas.microsoft.com/office/2006/metadata/properties" ma:root="true" ma:fieldsID="7f52580662abb29abbc0c85db654f027" ns2:_="" ns3:_="">
    <xsd:import namespace="e2430303-d052-4e59-942b-9dcb77981c99"/>
    <xsd:import namespace="c9769570-734c-41a4-b587-937bc0e11db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Descripcion" minOccurs="0"/>
                <xsd:element ref="ns3:Responsable" minOccurs="0"/>
                <xsd:element ref="ns3:Entregable" minOccurs="0"/>
                <xsd:element ref="ns3:Entregable2" minOccurs="0"/>
                <xsd:element ref="ns3:Entregable2_x003a_Title" minOccurs="0"/>
                <xsd:element ref="ns3:Entregable2_x003a_Descripcion" minOccurs="0"/>
                <xsd:element ref="ns3:lcf76f155ced4ddcb4097134ff3c332f" minOccurs="0"/>
                <xsd:element ref="ns2:TaxCatchAll" minOccurs="0"/>
                <xsd:element ref="ns3:Paquete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430303-d052-4e59-942b-9dcb77981c9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9" nillable="true" ma:displayName="Taxonomy Catch All Column" ma:hidden="true" ma:list="{c443a481-e33e-4a44-a6e4-62198eadf926}" ma:internalName="TaxCatchAll" ma:showField="CatchAllData" ma:web="e2430303-d052-4e59-942b-9dcb77981c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769570-734c-41a4-b587-937bc0e11d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Descripcion" ma:index="21" nillable="true" ma:displayName="Descripcion" ma:format="Dropdown" ma:internalName="Descripcion">
      <xsd:simpleType>
        <xsd:restriction base="dms:Text">
          <xsd:maxLength value="255"/>
        </xsd:restriction>
      </xsd:simpleType>
    </xsd:element>
    <xsd:element name="Responsable" ma:index="22" nillable="true" ma:displayName="Responsable" ma:description="Este documento tiene a su cargo un abogado de DIE" ma:format="Dropdown" ma:internalName="Responsable">
      <xsd:simpleType>
        <xsd:restriction base="dms:Text">
          <xsd:maxLength value="255"/>
        </xsd:restriction>
      </xsd:simpleType>
    </xsd:element>
    <xsd:element name="Entregable" ma:index="23" nillable="true" ma:displayName="Entregable" ma:format="Dropdown" ma:list="aa062ca6-a4f6-41c9-a6d5-8460f1f7cd63" ma:internalName="Entregabl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ntregable2" ma:index="24" nillable="true" ma:displayName="Entregable2" ma:list="{aa062ca6-a4f6-41c9-a6d5-8460f1f7cd63}" ma:internalName="Entregable2" ma:showField="I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ntregable2_x003a_Title" ma:index="25" nillable="true" ma:displayName="Entregable2:Title" ma:list="{aa062ca6-a4f6-41c9-a6d5-8460f1f7cd63}" ma:internalName="Entregable2_x003a_Title" ma:readOnly="true" ma:showField="Title" ma:web="e2430303-d052-4e59-942b-9dcb77981c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ntregable2_x003a_Descripcion" ma:index="26" nillable="true" ma:displayName="Entregable2:Descripcion" ma:list="{aa062ca6-a4f6-41c9-a6d5-8460f1f7cd63}" ma:internalName="Entregable2_x003a_Descripcion" ma:readOnly="true" ma:showField="field_1" ma:web="e2430303-d052-4e59-942b-9dcb77981c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cf76f155ced4ddcb4097134ff3c332f" ma:index="28" nillable="true" ma:taxonomy="true" ma:internalName="lcf76f155ced4ddcb4097134ff3c332f" ma:taxonomyFieldName="MediaServiceImageTags" ma:displayName="Etiquetas de imagen" ma:readOnly="false" ma:fieldId="{5cf76f15-5ced-4ddc-b409-7134ff3c332f}" ma:taxonomyMulti="true" ma:sspId="66aac2e1-5ba9-4067-b39f-cdb2cfb8e5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aquete" ma:index="30" nillable="true" ma:displayName="Paquete" ma:decimals="0" ma:format="Dropdown" ma:internalName="Paquete" ma:percentage="FALSE">
      <xsd:simpleType>
        <xsd:restriction base="dms:Number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A7CFA7-4847-48C3-803C-AA49851664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AE7EE9-6CF7-4FAF-9FAA-487410256BFF}">
  <ds:schemaRefs>
    <ds:schemaRef ds:uri="http://schemas.microsoft.com/office/2006/metadata/properties"/>
    <ds:schemaRef ds:uri="http://schemas.microsoft.com/office/infopath/2007/PartnerControls"/>
    <ds:schemaRef ds:uri="c9769570-734c-41a4-b587-937bc0e11db2"/>
    <ds:schemaRef ds:uri="e2430303-d052-4e59-942b-9dcb77981c99"/>
  </ds:schemaRefs>
</ds:datastoreItem>
</file>

<file path=customXml/itemProps3.xml><?xml version="1.0" encoding="utf-8"?>
<ds:datastoreItem xmlns:ds="http://schemas.openxmlformats.org/officeDocument/2006/customXml" ds:itemID="{33EC455C-052E-4100-90C6-A6B2A0E285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430303-d052-4e59-942b-9dcb77981c99"/>
    <ds:schemaRef ds:uri="c9769570-734c-41a4-b587-937bc0e11d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MANTENIMIENTO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OPP 30</dc:creator>
  <cp:keywords/>
  <dc:description/>
  <cp:lastModifiedBy>DIPLAN 11</cp:lastModifiedBy>
  <cp:revision/>
  <dcterms:created xsi:type="dcterms:W3CDTF">2015-06-05T18:19:34Z</dcterms:created>
  <dcterms:modified xsi:type="dcterms:W3CDTF">2026-05-14T20:45:43Z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0x010100DBE87ED011AC1342B3E5DA2BCE9C9CEF</vt:lpwstr>
  </property>
  <property fmtid="{D5CDD505-2E9C-101B-9397-08002B2CF9AE}" pid="3" name="MediaServiceImageTags">
    <vt:lpwstr/>
  </property>
</Properties>
</file>